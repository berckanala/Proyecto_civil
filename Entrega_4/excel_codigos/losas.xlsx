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53337d7bb58d0d/Escritorio/Semestre XI/Proyecto Civil/Proyecto_civil/Entrega_4/excel_codigos/"/>
    </mc:Choice>
  </mc:AlternateContent>
  <xr:revisionPtr revIDLastSave="883" documentId="8_{8C465C5B-43C0-45D3-BA06-8E2EEC1FE902}" xr6:coauthVersionLast="47" xr6:coauthVersionMax="47" xr10:uidLastSave="{6C727C3B-8C08-44F2-8A36-220D48D67FBD}"/>
  <bookViews>
    <workbookView xWindow="-28920" yWindow="1605" windowWidth="29040" windowHeight="15720" xr2:uid="{A9AC3547-1A15-466A-A718-1C291669B2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" i="1" l="1"/>
  <c r="W30" i="1"/>
  <c r="X30" i="1"/>
  <c r="Y30" i="1"/>
  <c r="Z30" i="1"/>
  <c r="AA30" i="1"/>
  <c r="AB30" i="1"/>
  <c r="AC30" i="1"/>
  <c r="AD30" i="1"/>
  <c r="W31" i="1"/>
  <c r="X31" i="1"/>
  <c r="Y31" i="1"/>
  <c r="Z31" i="1"/>
  <c r="AA31" i="1"/>
  <c r="AB31" i="1"/>
  <c r="AC31" i="1"/>
  <c r="AD31" i="1"/>
  <c r="W32" i="1"/>
  <c r="X32" i="1"/>
  <c r="Y32" i="1"/>
  <c r="Z32" i="1"/>
  <c r="AA32" i="1"/>
  <c r="AB32" i="1"/>
  <c r="AC32" i="1"/>
  <c r="AD32" i="1"/>
  <c r="W33" i="1"/>
  <c r="X33" i="1"/>
  <c r="Y33" i="1"/>
  <c r="Z33" i="1"/>
  <c r="AA33" i="1"/>
  <c r="AB33" i="1"/>
  <c r="AC33" i="1"/>
  <c r="AD33" i="1"/>
  <c r="W34" i="1"/>
  <c r="X34" i="1"/>
  <c r="Y34" i="1"/>
  <c r="Z34" i="1"/>
  <c r="AA34" i="1"/>
  <c r="AB34" i="1"/>
  <c r="AC34" i="1"/>
  <c r="AD34" i="1"/>
  <c r="W35" i="1"/>
  <c r="X35" i="1"/>
  <c r="Y35" i="1"/>
  <c r="Z35" i="1"/>
  <c r="AA35" i="1"/>
  <c r="AB35" i="1"/>
  <c r="AC35" i="1"/>
  <c r="AD35" i="1"/>
  <c r="W36" i="1"/>
  <c r="X36" i="1"/>
  <c r="Y36" i="1"/>
  <c r="Z36" i="1"/>
  <c r="AA36" i="1"/>
  <c r="AB36" i="1"/>
  <c r="AC36" i="1"/>
  <c r="AD36" i="1"/>
  <c r="W37" i="1"/>
  <c r="X37" i="1"/>
  <c r="Y37" i="1"/>
  <c r="Z37" i="1"/>
  <c r="AA37" i="1"/>
  <c r="AB37" i="1"/>
  <c r="AC37" i="1"/>
  <c r="AD37" i="1"/>
  <c r="X29" i="1"/>
  <c r="Y29" i="1"/>
  <c r="Z29" i="1"/>
  <c r="AA29" i="1"/>
  <c r="AB29" i="1"/>
  <c r="AC29" i="1"/>
  <c r="AD29" i="1"/>
  <c r="W29" i="1"/>
  <c r="N2" i="1"/>
  <c r="P29" i="1"/>
  <c r="Q29" i="1"/>
  <c r="R29" i="1"/>
  <c r="S29" i="1"/>
  <c r="T29" i="1"/>
  <c r="U29" i="1"/>
  <c r="V29" i="1"/>
  <c r="P30" i="1"/>
  <c r="Q30" i="1"/>
  <c r="R30" i="1"/>
  <c r="S30" i="1"/>
  <c r="T30" i="1"/>
  <c r="U30" i="1"/>
  <c r="V30" i="1"/>
  <c r="P31" i="1"/>
  <c r="Q31" i="1"/>
  <c r="R31" i="1"/>
  <c r="S31" i="1"/>
  <c r="T31" i="1"/>
  <c r="U31" i="1"/>
  <c r="V31" i="1"/>
  <c r="P32" i="1"/>
  <c r="Q32" i="1"/>
  <c r="R32" i="1"/>
  <c r="S32" i="1"/>
  <c r="T32" i="1"/>
  <c r="U32" i="1"/>
  <c r="V32" i="1"/>
  <c r="P33" i="1"/>
  <c r="Q33" i="1"/>
  <c r="R33" i="1"/>
  <c r="S33" i="1" s="1"/>
  <c r="T33" i="1" s="1"/>
  <c r="U33" i="1" s="1"/>
  <c r="V33" i="1" s="1"/>
  <c r="P34" i="1"/>
  <c r="Q34" i="1" s="1"/>
  <c r="R34" i="1" s="1"/>
  <c r="S34" i="1" s="1"/>
  <c r="T34" i="1" s="1"/>
  <c r="U34" i="1" s="1"/>
  <c r="V34" i="1" s="1"/>
  <c r="P35" i="1"/>
  <c r="Q35" i="1" s="1"/>
  <c r="R35" i="1" s="1"/>
  <c r="S35" i="1" s="1"/>
  <c r="T35" i="1" s="1"/>
  <c r="U35" i="1" s="1"/>
  <c r="V35" i="1" s="1"/>
  <c r="P36" i="1"/>
  <c r="Q36" i="1" s="1"/>
  <c r="R36" i="1" s="1"/>
  <c r="S36" i="1" s="1"/>
  <c r="T36" i="1" s="1"/>
  <c r="U36" i="1" s="1"/>
  <c r="V36" i="1" s="1"/>
  <c r="P37" i="1"/>
  <c r="Q37" i="1" s="1"/>
  <c r="R37" i="1" s="1"/>
  <c r="S37" i="1" s="1"/>
  <c r="T37" i="1" s="1"/>
  <c r="U37" i="1" s="1"/>
  <c r="V37" i="1" s="1"/>
  <c r="O30" i="1"/>
  <c r="O31" i="1"/>
  <c r="O32" i="1"/>
  <c r="O33" i="1"/>
  <c r="O34" i="1"/>
  <c r="O35" i="1"/>
  <c r="O36" i="1"/>
  <c r="O37" i="1"/>
  <c r="O29" i="1"/>
  <c r="N30" i="1"/>
  <c r="N31" i="1"/>
  <c r="N32" i="1"/>
  <c r="N33" i="1"/>
  <c r="N34" i="1"/>
  <c r="N35" i="1"/>
  <c r="N36" i="1"/>
  <c r="N37" i="1"/>
  <c r="N29" i="1"/>
  <c r="AC18" i="1"/>
  <c r="E37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C29" i="1"/>
  <c r="D29" i="1"/>
  <c r="B29" i="1"/>
  <c r="M2" i="1"/>
  <c r="N3" i="1"/>
  <c r="N4" i="1"/>
  <c r="N5" i="1"/>
  <c r="N6" i="1"/>
  <c r="N7" i="1"/>
  <c r="N8" i="1"/>
  <c r="N9" i="1"/>
  <c r="N10" i="1"/>
  <c r="O3" i="1"/>
  <c r="M3" i="1"/>
  <c r="AS3" i="1"/>
  <c r="AP3" i="1"/>
  <c r="AP4" i="1"/>
  <c r="AP5" i="1"/>
  <c r="AP6" i="1"/>
  <c r="AP7" i="1"/>
  <c r="AP8" i="1"/>
  <c r="AP9" i="1"/>
  <c r="AP10" i="1"/>
  <c r="AP2" i="1"/>
  <c r="AQ2" i="1"/>
  <c r="AF3" i="1"/>
  <c r="AF4" i="1"/>
  <c r="AM5" i="1"/>
  <c r="AF6" i="1"/>
  <c r="AF7" i="1"/>
  <c r="AF8" i="1"/>
  <c r="AF9" i="1"/>
  <c r="AF10" i="1"/>
  <c r="AF2" i="1"/>
  <c r="AE4" i="1"/>
  <c r="AL5" i="1"/>
  <c r="AE6" i="1"/>
  <c r="AL6" i="1" s="1"/>
  <c r="AN6" i="1" s="1"/>
  <c r="AE7" i="1"/>
  <c r="AE8" i="1"/>
  <c r="AL8" i="1" s="1"/>
  <c r="AE9" i="1"/>
  <c r="AL9" i="1" s="1"/>
  <c r="AE10" i="1"/>
  <c r="AL10" i="1" s="1"/>
  <c r="AE2" i="1"/>
  <c r="V15" i="1"/>
  <c r="V14" i="1"/>
  <c r="U14" i="1"/>
  <c r="U15" i="1"/>
  <c r="T14" i="1"/>
  <c r="M4" i="1"/>
  <c r="Q19" i="1"/>
  <c r="AH3" i="1"/>
  <c r="AH4" i="1"/>
  <c r="AH5" i="1"/>
  <c r="AH6" i="1"/>
  <c r="AH7" i="1"/>
  <c r="AH8" i="1"/>
  <c r="AH9" i="1"/>
  <c r="AH10" i="1"/>
  <c r="AH2" i="1"/>
  <c r="Q18" i="1"/>
  <c r="W15" i="1"/>
  <c r="X15" i="1" s="1"/>
  <c r="Y15" i="1" s="1"/>
  <c r="W14" i="1"/>
  <c r="X14" i="1" s="1"/>
  <c r="Y14" i="1" s="1"/>
  <c r="AG3" i="1"/>
  <c r="AG4" i="1"/>
  <c r="AG5" i="1"/>
  <c r="AG6" i="1"/>
  <c r="AG7" i="1"/>
  <c r="AG8" i="1"/>
  <c r="AG9" i="1"/>
  <c r="AG10" i="1"/>
  <c r="AG2" i="1"/>
  <c r="T15" i="1"/>
  <c r="C20" i="1"/>
  <c r="D19" i="1"/>
  <c r="C18" i="1"/>
  <c r="D17" i="1"/>
  <c r="D16" i="1"/>
  <c r="F16" i="1" s="1"/>
  <c r="C16" i="1"/>
  <c r="M5" i="1"/>
  <c r="M6" i="1"/>
  <c r="M7" i="1"/>
  <c r="M8" i="1"/>
  <c r="M9" i="1"/>
  <c r="M10" i="1"/>
  <c r="O10" i="1" s="1"/>
  <c r="K3" i="1"/>
  <c r="P3" i="1" s="1"/>
  <c r="K4" i="1"/>
  <c r="P4" i="1" s="1"/>
  <c r="K5" i="1"/>
  <c r="P5" i="1" s="1"/>
  <c r="K6" i="1"/>
  <c r="P6" i="1" s="1"/>
  <c r="K7" i="1"/>
  <c r="P7" i="1" s="1"/>
  <c r="K8" i="1"/>
  <c r="P8" i="1" s="1"/>
  <c r="K9" i="1"/>
  <c r="P9" i="1" s="1"/>
  <c r="K10" i="1"/>
  <c r="P10" i="1" s="1"/>
  <c r="K2" i="1"/>
  <c r="P2" i="1" s="1"/>
  <c r="Y2" i="1" s="1"/>
  <c r="D8" i="1"/>
  <c r="D6" i="1"/>
  <c r="D4" i="1"/>
  <c r="D5" i="1"/>
  <c r="D7" i="1"/>
  <c r="D9" i="1"/>
  <c r="D10" i="1"/>
  <c r="D3" i="1"/>
  <c r="D2" i="1"/>
  <c r="K29" i="1" l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F30" i="1"/>
  <c r="G30" i="1"/>
  <c r="H30" i="1"/>
  <c r="I30" i="1"/>
  <c r="F31" i="1"/>
  <c r="G31" i="1"/>
  <c r="H31" i="1"/>
  <c r="I31" i="1"/>
  <c r="F32" i="1"/>
  <c r="I32" i="1"/>
  <c r="I33" i="1"/>
  <c r="I34" i="1"/>
  <c r="G36" i="1"/>
  <c r="F37" i="1"/>
  <c r="H37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J30" i="1"/>
  <c r="G29" i="1"/>
  <c r="G32" i="1"/>
  <c r="G33" i="1"/>
  <c r="F34" i="1"/>
  <c r="G34" i="1"/>
  <c r="G35" i="1"/>
  <c r="I35" i="1"/>
  <c r="I36" i="1"/>
  <c r="I37" i="1"/>
  <c r="I29" i="1"/>
  <c r="J31" i="1"/>
  <c r="J32" i="1"/>
  <c r="J33" i="1"/>
  <c r="J34" i="1"/>
  <c r="J35" i="1"/>
  <c r="J36" i="1"/>
  <c r="J37" i="1"/>
  <c r="J29" i="1"/>
  <c r="H32" i="1"/>
  <c r="F33" i="1"/>
  <c r="H33" i="1"/>
  <c r="H34" i="1"/>
  <c r="H35" i="1"/>
  <c r="F36" i="1"/>
  <c r="H36" i="1"/>
  <c r="G37" i="1"/>
  <c r="F29" i="1"/>
  <c r="F35" i="1"/>
  <c r="H29" i="1"/>
  <c r="O8" i="1"/>
  <c r="O5" i="1"/>
  <c r="O9" i="1"/>
  <c r="AQ6" i="1"/>
  <c r="AQ5" i="1"/>
  <c r="AR5" i="1"/>
  <c r="AN8" i="1"/>
  <c r="AQ8" i="1" s="1"/>
  <c r="O7" i="1"/>
  <c r="O6" i="1"/>
  <c r="AL4" i="1"/>
  <c r="AN4" i="1" s="1"/>
  <c r="AQ4" i="1" s="1"/>
  <c r="AL3" i="1"/>
  <c r="AL7" i="1"/>
  <c r="AL2" i="1"/>
  <c r="AN2" i="1" s="1"/>
  <c r="O2" i="1"/>
  <c r="AN3" i="1"/>
  <c r="AQ3" i="1" s="1"/>
  <c r="AN7" i="1"/>
  <c r="AQ7" i="1" s="1"/>
  <c r="AN9" i="1"/>
  <c r="AQ9" i="1" s="1"/>
  <c r="AN10" i="1"/>
  <c r="AQ10" i="1" s="1"/>
  <c r="AI5" i="1"/>
  <c r="AI3" i="1"/>
  <c r="AI4" i="1"/>
  <c r="AI6" i="1"/>
  <c r="AJ10" i="1"/>
  <c r="AJ5" i="1"/>
  <c r="AJ7" i="1"/>
  <c r="AJ6" i="1"/>
  <c r="AJ9" i="1"/>
  <c r="AJ3" i="1"/>
  <c r="AJ2" i="1"/>
  <c r="AJ8" i="1"/>
  <c r="AJ4" i="1"/>
  <c r="AM3" i="1"/>
  <c r="AO3" i="1" s="1"/>
  <c r="AR3" i="1" s="1"/>
  <c r="AM9" i="1"/>
  <c r="AO9" i="1" s="1"/>
  <c r="AR9" i="1" s="1"/>
  <c r="AM7" i="1"/>
  <c r="AO7" i="1" s="1"/>
  <c r="AR7" i="1" s="1"/>
  <c r="AM8" i="1"/>
  <c r="AO8" i="1" s="1"/>
  <c r="AR8" i="1" s="1"/>
  <c r="AM2" i="1"/>
  <c r="AO2" i="1" s="1"/>
  <c r="AR2" i="1" s="1"/>
  <c r="AM4" i="1"/>
  <c r="AO4" i="1" s="1"/>
  <c r="AR4" i="1" s="1"/>
  <c r="AM10" i="1"/>
  <c r="AO10" i="1" s="1"/>
  <c r="AR10" i="1" s="1"/>
  <c r="AM6" i="1"/>
  <c r="AO6" i="1" s="1"/>
  <c r="AR6" i="1" s="1"/>
  <c r="O4" i="1"/>
  <c r="AC3" i="1"/>
  <c r="Y3" i="1"/>
  <c r="AB3" i="1"/>
  <c r="D14" i="1" s="1"/>
  <c r="Z3" i="1"/>
  <c r="Y4" i="1"/>
  <c r="Z4" i="1"/>
  <c r="AA4" i="1"/>
  <c r="AC4" i="1"/>
  <c r="AB6" i="1"/>
  <c r="C17" i="1" s="1"/>
  <c r="Z6" i="1"/>
  <c r="Y6" i="1"/>
  <c r="AC6" i="1"/>
  <c r="AA7" i="1"/>
  <c r="D18" i="1" s="1"/>
  <c r="Y7" i="1"/>
  <c r="AI7" i="1" s="1"/>
  <c r="AK7" i="1" s="1"/>
  <c r="Z7" i="1"/>
  <c r="AC7" i="1"/>
  <c r="AC8" i="1"/>
  <c r="Z8" i="1"/>
  <c r="Y8" i="1"/>
  <c r="AI8" i="1" s="1"/>
  <c r="AK8" i="1" s="1"/>
  <c r="AB8" i="1"/>
  <c r="Z9" i="1"/>
  <c r="AA9" i="1"/>
  <c r="D20" i="1" s="1"/>
  <c r="F20" i="1" s="1"/>
  <c r="AB9" i="1"/>
  <c r="C21" i="1" s="1"/>
  <c r="Y9" i="1"/>
  <c r="AI9" i="1" s="1"/>
  <c r="AK9" i="1" s="1"/>
  <c r="Z10" i="1"/>
  <c r="Y10" i="1"/>
  <c r="AI10" i="1" s="1"/>
  <c r="AK10" i="1" s="1"/>
  <c r="AB10" i="1"/>
  <c r="D21" i="1" s="1"/>
  <c r="AA10" i="1"/>
  <c r="AA2" i="1"/>
  <c r="C15" i="1" s="1"/>
  <c r="AB2" i="1"/>
  <c r="C14" i="1" s="1"/>
  <c r="Z2" i="1"/>
  <c r="AI2" i="1" s="1"/>
  <c r="AK2" i="1" s="1"/>
  <c r="AK5" i="1" l="1"/>
  <c r="AK3" i="1"/>
  <c r="AK6" i="1"/>
  <c r="AK4" i="1"/>
  <c r="D15" i="1"/>
  <c r="C19" i="1"/>
  <c r="E17" i="1"/>
  <c r="F17" i="1"/>
  <c r="F18" i="1"/>
  <c r="E18" i="1"/>
  <c r="E21" i="1"/>
  <c r="F21" i="1"/>
  <c r="E14" i="1"/>
  <c r="F14" i="1"/>
  <c r="E15" i="1" l="1"/>
  <c r="F15" i="1"/>
  <c r="E19" i="1"/>
  <c r="F19" i="1"/>
</calcChain>
</file>

<file path=xl/sharedStrings.xml><?xml version="1.0" encoding="utf-8"?>
<sst xmlns="http://schemas.openxmlformats.org/spreadsheetml/2006/main" count="175" uniqueCount="112">
  <si>
    <t>lx</t>
  </si>
  <si>
    <t>ly</t>
  </si>
  <si>
    <t>esbeltez</t>
  </si>
  <si>
    <t>phi</t>
  </si>
  <si>
    <t>calificacion</t>
  </si>
  <si>
    <t>K</t>
  </si>
  <si>
    <t>k</t>
  </si>
  <si>
    <t>mx</t>
  </si>
  <si>
    <t>my</t>
  </si>
  <si>
    <t>mey</t>
  </si>
  <si>
    <t>mex</t>
  </si>
  <si>
    <t>305i</t>
  </si>
  <si>
    <t>305ii</t>
  </si>
  <si>
    <t>-</t>
  </si>
  <si>
    <t>dpto</t>
  </si>
  <si>
    <t>pasillo</t>
  </si>
  <si>
    <t>PP ton/m2</t>
  </si>
  <si>
    <t>SC ton/m2</t>
  </si>
  <si>
    <t>qu ton/m2</t>
  </si>
  <si>
    <t>espesor (cm)</t>
  </si>
  <si>
    <t>b ancho (cm)</t>
  </si>
  <si>
    <t>Caso</t>
  </si>
  <si>
    <t>5a</t>
  </si>
  <si>
    <t>2b</t>
  </si>
  <si>
    <t>2a</t>
  </si>
  <si>
    <t>delta_x</t>
  </si>
  <si>
    <t>delta_y</t>
  </si>
  <si>
    <t>Mx (t*m)</t>
  </si>
  <si>
    <t>My (t*m)</t>
  </si>
  <si>
    <t>Mex (t*m)</t>
  </si>
  <si>
    <t>Mey (t*m)</t>
  </si>
  <si>
    <t>mxy</t>
  </si>
  <si>
    <t>Mxy (t*m)</t>
  </si>
  <si>
    <t>Losas vecinas</t>
  </si>
  <si>
    <t>Losas</t>
  </si>
  <si>
    <t>M1</t>
  </si>
  <si>
    <t>M2</t>
  </si>
  <si>
    <t>Dif (%)</t>
  </si>
  <si>
    <t>M diseño final (ton*m)</t>
  </si>
  <si>
    <t>Compensación momentos negativo</t>
  </si>
  <si>
    <t>Asmin (cm2/m)</t>
  </si>
  <si>
    <t>Sn (cm2)</t>
  </si>
  <si>
    <t>S phi (cm)</t>
  </si>
  <si>
    <t>Phi (cm)</t>
  </si>
  <si>
    <t>n° barras</t>
  </si>
  <si>
    <t>Diámetros nominales y secciones NCh204</t>
  </si>
  <si>
    <t>Mpa</t>
  </si>
  <si>
    <t>t/cm2</t>
  </si>
  <si>
    <t>w_m</t>
  </si>
  <si>
    <t>t/m2</t>
  </si>
  <si>
    <t>Ig (m4)</t>
  </si>
  <si>
    <t>kg/cm2</t>
  </si>
  <si>
    <t>Es</t>
  </si>
  <si>
    <t>Propiedades</t>
  </si>
  <si>
    <t>fr (kg/cm2)</t>
  </si>
  <si>
    <t>q_servicio</t>
  </si>
  <si>
    <t>ton/m2</t>
  </si>
  <si>
    <t>Ma (t*m)</t>
  </si>
  <si>
    <t>Para flecha instantanea, Ma</t>
  </si>
  <si>
    <t>Mcr (t*m)</t>
  </si>
  <si>
    <t>fr (ton/cm2</t>
  </si>
  <si>
    <t>yt (m)</t>
  </si>
  <si>
    <t>fr (ton/m2)</t>
  </si>
  <si>
    <t>f_fis 3 (cm)</t>
  </si>
  <si>
    <t>f_fis 4 (cm)</t>
  </si>
  <si>
    <t>f_cm</t>
  </si>
  <si>
    <t xml:space="preserve"> porcentaje carga muerta del total de carga de servicio</t>
  </si>
  <si>
    <t>f_total 3 (cm)</t>
  </si>
  <si>
    <t>f_total 4 (cm)</t>
  </si>
  <si>
    <t>Ie (m4)</t>
  </si>
  <si>
    <t>Piso 3</t>
  </si>
  <si>
    <t>Piso 4+</t>
  </si>
  <si>
    <t>Direccion</t>
  </si>
  <si>
    <t>Cumple (piso 4+)</t>
  </si>
  <si>
    <t>Cumple (piso 3)</t>
  </si>
  <si>
    <t>f'c</t>
  </si>
  <si>
    <t>Ec (Mpa)</t>
  </si>
  <si>
    <t>Ec (ton/m2)</t>
  </si>
  <si>
    <t>flecha instantanea (m) (piso 3)</t>
  </si>
  <si>
    <t>flecha instantanea (m) (piso 4+)</t>
  </si>
  <si>
    <t>No considerar losa</t>
  </si>
  <si>
    <t>Como cumple no se usa contraflecha</t>
  </si>
  <si>
    <t>Contraflecha (m)</t>
  </si>
  <si>
    <t>Limite deformacion L/500 (piso 3)</t>
  </si>
  <si>
    <t>DEJAR TODO EN CM EN EL INFORME</t>
  </si>
  <si>
    <t>phi_armadura</t>
  </si>
  <si>
    <t>fy acero</t>
  </si>
  <si>
    <t>r</t>
  </si>
  <si>
    <t>cm</t>
  </si>
  <si>
    <t>A630-420H</t>
  </si>
  <si>
    <t>d</t>
  </si>
  <si>
    <t>altura util</t>
  </si>
  <si>
    <t>Y</t>
  </si>
  <si>
    <t>X</t>
  </si>
  <si>
    <t>Armadura de losas finales</t>
  </si>
  <si>
    <t>Mux (kg*cm)</t>
  </si>
  <si>
    <t>Mu (kg*cm)</t>
  </si>
  <si>
    <t>Muex (kg*cm)</t>
  </si>
  <si>
    <t>Muey (kg*cm)</t>
  </si>
  <si>
    <t>La armadura de las losas se diseña por metro de losa, es decir, considerando ancho de 100cm</t>
  </si>
  <si>
    <t>Asx+</t>
  </si>
  <si>
    <t>Asy+</t>
  </si>
  <si>
    <t>Asx-</t>
  </si>
  <si>
    <t>Asy-</t>
  </si>
  <si>
    <t>b</t>
  </si>
  <si>
    <t>e</t>
  </si>
  <si>
    <t>As_min</t>
  </si>
  <si>
    <t>Asx+ (cm2/m)</t>
  </si>
  <si>
    <t>Final con requisito de armadura minima</t>
  </si>
  <si>
    <t>Espaciamiento de barras phi_n° (cm)</t>
  </si>
  <si>
    <t>S_phi_8</t>
  </si>
  <si>
    <t>Por lo tanto, se debe usar solo phi_8. El detalle del espaciamiento por cada losa se encuentra en la tabla "Espaciamiento de barras phi_n°" en cada dirección según sea positiva, negativa y los pisos correspondientes. Solo tienen que dibujar como le explique a lukas y poner toda esta info en el informe. Esta desde la pagina 125 del apunte en adelante.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</si>
</sst>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00"/>
    <numFmt numFmtId="167" formatCode="0.00000"/>
    <numFmt numFmtId="168" formatCode="0.000000"/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3" fillId="2" borderId="0" xfId="0" applyFont="1" applyFill="1"/>
    <xf numFmtId="164" fontId="0" fillId="0" borderId="1" xfId="0" applyNumberFormat="1" applyBorder="1"/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D8D6-4587-4049-825F-6F93075E8A8D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c8ee5a64-d447-429d-b502-076d8b123a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AC97-62A0-4EB4-BBA3-4086C0DEC883}">
  <dimension ref="A1:AT45"/>
  <sheetViews>
    <sheetView tabSelected="1" topLeftCell="M1" zoomScale="73" workbookViewId="0">
      <selection activeCell="S14" sqref="S14"/>
    </sheetView>
  </sheetViews>
  <sheetFormatPr baseColWidth="10" defaultRowHeight="15" x14ac:dyDescent="0.25"/>
  <cols>
    <col min="1" max="1" width="11.85546875" bestFit="1" customWidth="1"/>
    <col min="2" max="5" width="13.28515625" bestFit="1" customWidth="1"/>
    <col min="6" max="6" width="19.28515625" bestFit="1" customWidth="1"/>
    <col min="12" max="12" width="11.5703125" bestFit="1" customWidth="1"/>
    <col min="13" max="13" width="13.28515625" bestFit="1" customWidth="1"/>
    <col min="14" max="14" width="11.7109375" bestFit="1" customWidth="1"/>
    <col min="15" max="15" width="12.28515625" bestFit="1" customWidth="1"/>
    <col min="23" max="23" width="13.28515625" bestFit="1" customWidth="1"/>
    <col min="30" max="30" width="7.7109375" bestFit="1" customWidth="1"/>
    <col min="31" max="31" width="25.7109375" bestFit="1" customWidth="1"/>
    <col min="32" max="32" width="26.7109375" bestFit="1" customWidth="1"/>
    <col min="37" max="37" width="10.7109375" customWidth="1"/>
    <col min="40" max="41" width="11.7109375" bestFit="1" customWidth="1"/>
    <col min="42" max="42" width="42.42578125" bestFit="1" customWidth="1"/>
    <col min="43" max="43" width="14.140625" bestFit="1" customWidth="1"/>
    <col min="44" max="44" width="17.7109375" customWidth="1"/>
    <col min="45" max="45" width="17.7109375" bestFit="1" customWidth="1"/>
    <col min="46" max="46" width="10.7109375" customWidth="1"/>
  </cols>
  <sheetData>
    <row r="1" spans="1:46" x14ac:dyDescent="0.25">
      <c r="A1" s="4" t="s">
        <v>34</v>
      </c>
      <c r="B1" s="4" t="s">
        <v>0</v>
      </c>
      <c r="C1" s="4" t="s">
        <v>1</v>
      </c>
      <c r="D1" s="4" t="s">
        <v>2</v>
      </c>
      <c r="E1" s="4" t="s">
        <v>21</v>
      </c>
      <c r="F1" s="4" t="s">
        <v>19</v>
      </c>
      <c r="G1" s="4" t="s">
        <v>3</v>
      </c>
      <c r="H1" s="4" t="s">
        <v>4</v>
      </c>
      <c r="I1" s="4" t="s">
        <v>16</v>
      </c>
      <c r="J1" s="4" t="s">
        <v>17</v>
      </c>
      <c r="K1" s="4" t="s">
        <v>18</v>
      </c>
      <c r="L1" s="4" t="s">
        <v>20</v>
      </c>
      <c r="M1" s="4" t="s">
        <v>40</v>
      </c>
      <c r="N1" s="4" t="s">
        <v>42</v>
      </c>
      <c r="O1" s="4" t="s">
        <v>44</v>
      </c>
      <c r="P1" s="4" t="s">
        <v>5</v>
      </c>
      <c r="Q1" s="4" t="s">
        <v>6</v>
      </c>
      <c r="R1" s="4" t="s">
        <v>25</v>
      </c>
      <c r="S1" s="4" t="s">
        <v>26</v>
      </c>
      <c r="T1" s="4" t="s">
        <v>7</v>
      </c>
      <c r="U1" s="4" t="s">
        <v>8</v>
      </c>
      <c r="V1" s="4" t="s">
        <v>10</v>
      </c>
      <c r="W1" s="4" t="s">
        <v>9</v>
      </c>
      <c r="X1" s="4" t="s">
        <v>31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32</v>
      </c>
      <c r="AD1" s="9" t="s">
        <v>48</v>
      </c>
      <c r="AE1" s="9" t="s">
        <v>78</v>
      </c>
      <c r="AF1" s="9" t="s">
        <v>79</v>
      </c>
      <c r="AG1" s="4" t="s">
        <v>50</v>
      </c>
      <c r="AH1" s="9" t="s">
        <v>61</v>
      </c>
      <c r="AI1" s="4" t="s">
        <v>57</v>
      </c>
      <c r="AJ1" s="4" t="s">
        <v>59</v>
      </c>
      <c r="AK1" s="4" t="s">
        <v>69</v>
      </c>
      <c r="AL1" s="9" t="s">
        <v>63</v>
      </c>
      <c r="AM1" s="9" t="s">
        <v>64</v>
      </c>
      <c r="AN1" s="9" t="s">
        <v>67</v>
      </c>
      <c r="AO1" s="9" t="s">
        <v>68</v>
      </c>
      <c r="AP1" s="4" t="s">
        <v>83</v>
      </c>
      <c r="AQ1" s="4" t="s">
        <v>74</v>
      </c>
      <c r="AR1" s="4" t="s">
        <v>73</v>
      </c>
      <c r="AS1" s="4" t="s">
        <v>82</v>
      </c>
    </row>
    <row r="2" spans="1:46" x14ac:dyDescent="0.25">
      <c r="A2" s="1">
        <v>301</v>
      </c>
      <c r="B2" s="1">
        <v>5.73</v>
      </c>
      <c r="C2" s="1">
        <v>8.75</v>
      </c>
      <c r="D2" s="2">
        <f>C2/B2</f>
        <v>1.5270506108202442</v>
      </c>
      <c r="E2" s="3" t="s">
        <v>22</v>
      </c>
      <c r="F2" s="3">
        <v>15</v>
      </c>
      <c r="G2" s="1">
        <v>0.59</v>
      </c>
      <c r="H2" s="1" t="s">
        <v>14</v>
      </c>
      <c r="I2" s="1">
        <v>0.23</v>
      </c>
      <c r="J2" s="1">
        <v>0.2</v>
      </c>
      <c r="K2" s="1">
        <f>1.2*I2+1.6*J2</f>
        <v>0.59600000000000009</v>
      </c>
      <c r="L2" s="1">
        <v>100</v>
      </c>
      <c r="M2" s="1">
        <f>(1.8/1000)*L2*F2</f>
        <v>2.6999999999999997</v>
      </c>
      <c r="N2" s="6">
        <f>ROUNDUP((1/M2)*100*$M$14,0)</f>
        <v>19</v>
      </c>
      <c r="O2" s="7">
        <f>L2/N2</f>
        <v>5.2631578947368425</v>
      </c>
      <c r="P2" s="2">
        <f>K2*B2*C2</f>
        <v>29.881950000000003</v>
      </c>
      <c r="Q2" s="1">
        <v>1</v>
      </c>
      <c r="R2" s="1">
        <v>1.1599999999999999</v>
      </c>
      <c r="S2" s="1">
        <v>1.52</v>
      </c>
      <c r="T2" s="1">
        <v>41.5</v>
      </c>
      <c r="U2" s="1">
        <v>118</v>
      </c>
      <c r="V2" s="1">
        <v>18.8</v>
      </c>
      <c r="W2" s="1">
        <v>26.6</v>
      </c>
      <c r="X2" s="1">
        <v>0</v>
      </c>
      <c r="Y2" s="3">
        <f>$P$2/T2</f>
        <v>0.72004698795180733</v>
      </c>
      <c r="Z2" s="3">
        <f>$P$2/U2</f>
        <v>0.25323686440677967</v>
      </c>
      <c r="AA2" s="3">
        <f>$P$2/V2</f>
        <v>1.5894654255319149</v>
      </c>
      <c r="AB2" s="3">
        <f>$P$2/W2</f>
        <v>1.1233815789473685</v>
      </c>
      <c r="AC2" s="3">
        <v>0</v>
      </c>
      <c r="AD2" s="1">
        <v>35.299999999999997</v>
      </c>
      <c r="AE2" s="14">
        <f>((I2+J2)*B2^4)/(AD2*$V$14*(F2/100)^3)</f>
        <v>1.3992862957456576E-3</v>
      </c>
      <c r="AF2" s="14">
        <f>((I2+J2)*B2^4)/(AD2*$V$15*(F2/100)^3)</f>
        <v>1.6556578730058469E-3</v>
      </c>
      <c r="AG2" s="12">
        <f>(B2*(F2/100)^3)/12</f>
        <v>1.6115625000000001E-3</v>
      </c>
      <c r="AH2" s="1">
        <f>F2/200</f>
        <v>7.4999999999999997E-2</v>
      </c>
      <c r="AI2" s="3">
        <f t="shared" ref="AI2:AI10" si="0">MAX(Y2:AC2)*$Q$18/K2</f>
        <v>1.1467619680851064</v>
      </c>
      <c r="AJ2" s="6">
        <f t="shared" ref="AJ2:AJ10" si="1">($Y$14*AG2)/(AH2/100)</f>
        <v>803.98863098305071</v>
      </c>
      <c r="AK2" s="11">
        <f>IF(AI2&lt;=AJ2*2/3,AG2)</f>
        <v>1.6115625000000001E-3</v>
      </c>
      <c r="AL2" s="14">
        <f>AE2</f>
        <v>1.3992862957456576E-3</v>
      </c>
      <c r="AM2" s="14">
        <f>AF2</f>
        <v>1.6556578730058469E-3</v>
      </c>
      <c r="AN2" s="14">
        <f>(1+3*$Q$19)*AL2</f>
        <v>3.6446526772910149E-3</v>
      </c>
      <c r="AO2" s="14">
        <f>(1+3*$Q$19)*AM2</f>
        <v>4.3124112041082524E-3</v>
      </c>
      <c r="AP2" s="13">
        <f>MIN(B2:C2)/500</f>
        <v>1.1460000000000001E-2</v>
      </c>
      <c r="AQ2" s="1" t="str">
        <f>IF(AN2&lt;AP2,"CUMPLE","NO CUMPLE")</f>
        <v>CUMPLE</v>
      </c>
      <c r="AR2" s="1" t="str">
        <f>IF(AO2&lt;AP2,"CUMPLE","NO CUMPLE")</f>
        <v>CUMPLE</v>
      </c>
      <c r="AS2" s="13" t="s">
        <v>13</v>
      </c>
    </row>
    <row r="3" spans="1:46" x14ac:dyDescent="0.25">
      <c r="A3" s="1">
        <v>302</v>
      </c>
      <c r="B3" s="1">
        <v>6.18</v>
      </c>
      <c r="C3" s="1">
        <v>8.43</v>
      </c>
      <c r="D3" s="2">
        <f>C3/B3</f>
        <v>1.3640776699029127</v>
      </c>
      <c r="E3" s="3" t="s">
        <v>23</v>
      </c>
      <c r="F3" s="3">
        <v>15</v>
      </c>
      <c r="G3" s="1">
        <v>0.93500000000000005</v>
      </c>
      <c r="H3" s="1" t="s">
        <v>14</v>
      </c>
      <c r="I3" s="1">
        <v>0.23</v>
      </c>
      <c r="J3" s="1">
        <v>0.2</v>
      </c>
      <c r="K3" s="1">
        <f t="shared" ref="K3:K10" si="2">1.2*I3+1.6*J3</f>
        <v>0.59600000000000009</v>
      </c>
      <c r="L3" s="1">
        <v>100</v>
      </c>
      <c r="M3" s="1">
        <f>(1.8/1000)*L3*F3</f>
        <v>2.6999999999999997</v>
      </c>
      <c r="N3" s="6">
        <f t="shared" ref="N3:N10" si="3">ROUNDUP((1/M3)*100*$M$14,0)</f>
        <v>19</v>
      </c>
      <c r="O3" s="7">
        <f t="shared" ref="O3:O10" si="4">L3/N3</f>
        <v>5.2631578947368425</v>
      </c>
      <c r="P3" s="2">
        <f t="shared" ref="P3:P10" si="5">K3*B3*C3</f>
        <v>31.050050400000003</v>
      </c>
      <c r="Q3" s="1">
        <v>1</v>
      </c>
      <c r="R3" s="1">
        <v>7.0000000000000007E-2</v>
      </c>
      <c r="S3" s="1">
        <v>0</v>
      </c>
      <c r="T3" s="1">
        <v>26.8</v>
      </c>
      <c r="U3" s="1">
        <v>41.4</v>
      </c>
      <c r="V3" s="1">
        <v>0</v>
      </c>
      <c r="W3" s="1">
        <v>12.8</v>
      </c>
      <c r="X3" s="1">
        <v>25.4</v>
      </c>
      <c r="Y3" s="3">
        <f>$P$3/T3</f>
        <v>1.1585839701492537</v>
      </c>
      <c r="Z3" s="3">
        <f t="shared" ref="Z3:AC3" si="6">$P$3/U3</f>
        <v>0.75000121739130443</v>
      </c>
      <c r="AA3" s="3">
        <v>0</v>
      </c>
      <c r="AB3" s="3">
        <f t="shared" si="6"/>
        <v>2.4257851875000003</v>
      </c>
      <c r="AC3" s="3">
        <f t="shared" si="6"/>
        <v>1.2224429291338585</v>
      </c>
      <c r="AD3" s="1">
        <v>14.5</v>
      </c>
      <c r="AE3" s="14">
        <f>((I3+J3)*B3^4)/(AD3*$V$14*(F3/100)^3)</f>
        <v>4.6094456271641698E-3</v>
      </c>
      <c r="AF3" s="14">
        <f t="shared" ref="AF3:AF10" si="7">((I3+J3)*B3^4)/(AD3*$V$15*(F3/100)^3)</f>
        <v>5.4539696172325753E-3</v>
      </c>
      <c r="AG3" s="12">
        <f t="shared" ref="AG3:AG10" si="8">(B3*(F3/100)^3)/12</f>
        <v>1.7381249999999999E-3</v>
      </c>
      <c r="AH3" s="1">
        <f t="shared" ref="AH3:AH10" si="9">F3/200</f>
        <v>7.4999999999999997E-2</v>
      </c>
      <c r="AI3" s="3">
        <f t="shared" si="0"/>
        <v>1.7501470312500003</v>
      </c>
      <c r="AJ3" s="6">
        <f t="shared" si="1"/>
        <v>867.12909938486087</v>
      </c>
      <c r="AK3" s="11">
        <f t="shared" ref="AK3:AK10" si="10">IF(AI3&lt;=AJ3*2/3,AG3)</f>
        <v>1.7381249999999999E-3</v>
      </c>
      <c r="AL3" s="14">
        <f t="shared" ref="AL3:AL10" si="11">AE3</f>
        <v>4.6094456271641698E-3</v>
      </c>
      <c r="AM3" s="14">
        <f t="shared" ref="AM3:AM10" si="12">AF3</f>
        <v>5.4539696172325753E-3</v>
      </c>
      <c r="AN3" s="14">
        <f t="shared" ref="AN3:AN10" si="13">(1+3*$Q$19)*AL3</f>
        <v>1.200599791261365E-2</v>
      </c>
      <c r="AO3" s="14">
        <f>(1+3*$Q$19)*AM3</f>
        <v>1.4205688305349962E-2</v>
      </c>
      <c r="AP3" s="13">
        <f t="shared" ref="AP3:AP10" si="14">MIN(B3:C3)/500</f>
        <v>1.2359999999999999E-2</v>
      </c>
      <c r="AQ3" s="1" t="str">
        <f t="shared" ref="AQ3:AQ10" si="15">IF(AN3&lt;AP3,"CUMPLE","NO CUMPLE")</f>
        <v>CUMPLE</v>
      </c>
      <c r="AR3" s="1" t="str">
        <f t="shared" ref="AR3:AR10" si="16">IF(AO3&lt;AP3,"CUMPLE","NO CUMPLE")</f>
        <v>NO CUMPLE</v>
      </c>
      <c r="AS3" s="14">
        <f>AO3-AP3</f>
        <v>1.8456883053499622E-3</v>
      </c>
    </row>
    <row r="4" spans="1:46" x14ac:dyDescent="0.25">
      <c r="A4" s="1">
        <v>303</v>
      </c>
      <c r="B4" s="1">
        <v>5.5</v>
      </c>
      <c r="C4" s="1">
        <v>4.9800000000000004</v>
      </c>
      <c r="D4" s="2">
        <f>B4/C4</f>
        <v>1.1044176706827309</v>
      </c>
      <c r="E4" s="3" t="s">
        <v>23</v>
      </c>
      <c r="F4" s="3">
        <v>15</v>
      </c>
      <c r="G4" s="1">
        <v>0.88</v>
      </c>
      <c r="H4" s="1" t="s">
        <v>14</v>
      </c>
      <c r="I4" s="1">
        <v>0.23</v>
      </c>
      <c r="J4" s="1">
        <v>0.2</v>
      </c>
      <c r="K4" s="1">
        <f t="shared" si="2"/>
        <v>0.59600000000000009</v>
      </c>
      <c r="L4" s="1">
        <v>100</v>
      </c>
      <c r="M4" s="1">
        <f>(1.8/1000)*L4*F4</f>
        <v>2.6999999999999997</v>
      </c>
      <c r="N4" s="6">
        <f t="shared" si="3"/>
        <v>19</v>
      </c>
      <c r="O4" s="7">
        <f t="shared" si="4"/>
        <v>5.2631578947368425</v>
      </c>
      <c r="P4" s="2">
        <f t="shared" si="5"/>
        <v>16.324440000000003</v>
      </c>
      <c r="Q4" s="1">
        <v>1</v>
      </c>
      <c r="R4" s="1">
        <v>0.19</v>
      </c>
      <c r="S4" s="1">
        <v>0.03</v>
      </c>
      <c r="T4" s="1">
        <v>30</v>
      </c>
      <c r="U4" s="1">
        <v>49.6</v>
      </c>
      <c r="V4" s="1">
        <v>12</v>
      </c>
      <c r="W4" s="1">
        <v>0</v>
      </c>
      <c r="X4" s="1">
        <v>27.4</v>
      </c>
      <c r="Y4" s="3">
        <f>$P$4/T4</f>
        <v>0.54414800000000008</v>
      </c>
      <c r="Z4" s="3">
        <f t="shared" ref="Z4:AC4" si="17">$P$4/U4</f>
        <v>0.32912177419354843</v>
      </c>
      <c r="AA4" s="3">
        <f t="shared" si="17"/>
        <v>1.3603700000000003</v>
      </c>
      <c r="AB4" s="3">
        <v>0</v>
      </c>
      <c r="AC4" s="3">
        <f t="shared" si="17"/>
        <v>0.59578248175182491</v>
      </c>
      <c r="AD4" s="1">
        <v>23.7</v>
      </c>
      <c r="AE4" s="14">
        <f t="shared" ref="AE4:AE10" si="18">((I4+J4)*B4^4)/(AD4*$V$14*(F4/100)^3)</f>
        <v>1.7691522547394346E-3</v>
      </c>
      <c r="AF4" s="14">
        <f t="shared" si="7"/>
        <v>2.0932891774978141E-3</v>
      </c>
      <c r="AG4" s="12">
        <f t="shared" si="8"/>
        <v>1.5468749999999999E-3</v>
      </c>
      <c r="AH4" s="1">
        <f t="shared" si="9"/>
        <v>7.4999999999999997E-2</v>
      </c>
      <c r="AI4" s="3">
        <f t="shared" si="0"/>
        <v>0.98147500000000021</v>
      </c>
      <c r="AJ4" s="6">
        <f t="shared" si="1"/>
        <v>771.71683602212534</v>
      </c>
      <c r="AK4" s="11">
        <f t="shared" si="10"/>
        <v>1.5468749999999999E-3</v>
      </c>
      <c r="AL4" s="14">
        <f t="shared" si="11"/>
        <v>1.7691522547394346E-3</v>
      </c>
      <c r="AM4" s="14">
        <f t="shared" si="12"/>
        <v>2.0932891774978141E-3</v>
      </c>
      <c r="AN4" s="14">
        <f t="shared" si="13"/>
        <v>4.6080244774608526E-3</v>
      </c>
      <c r="AO4" s="14">
        <f t="shared" ref="AO4:AO10" si="19">(1+3*$Q$19)*AM4</f>
        <v>5.4522880902268638E-3</v>
      </c>
      <c r="AP4" s="13">
        <f t="shared" si="14"/>
        <v>9.9600000000000001E-3</v>
      </c>
      <c r="AQ4" s="1" t="str">
        <f t="shared" si="15"/>
        <v>CUMPLE</v>
      </c>
      <c r="AR4" s="1" t="str">
        <f t="shared" si="16"/>
        <v>CUMPLE</v>
      </c>
      <c r="AS4" s="13" t="s">
        <v>13</v>
      </c>
    </row>
    <row r="5" spans="1:46" x14ac:dyDescent="0.25">
      <c r="A5" s="1">
        <v>304</v>
      </c>
      <c r="B5" s="1">
        <v>1.4</v>
      </c>
      <c r="C5" s="1">
        <v>13.58</v>
      </c>
      <c r="D5" s="2">
        <f t="shared" ref="D5:D10" si="20">C5/B5</f>
        <v>9.7000000000000011</v>
      </c>
      <c r="E5" s="3" t="s">
        <v>13</v>
      </c>
      <c r="F5" s="3">
        <v>15</v>
      </c>
      <c r="G5" s="1">
        <v>0</v>
      </c>
      <c r="H5" s="1" t="s">
        <v>15</v>
      </c>
      <c r="I5" s="1">
        <v>0.23</v>
      </c>
      <c r="J5" s="1">
        <v>0.5</v>
      </c>
      <c r="K5" s="1">
        <f t="shared" si="2"/>
        <v>1.0760000000000001</v>
      </c>
      <c r="L5" s="1">
        <v>100</v>
      </c>
      <c r="M5" s="1">
        <f t="shared" ref="M5:M10" si="21">(1.8/1000)*L5*F5</f>
        <v>2.6999999999999997</v>
      </c>
      <c r="N5" s="6">
        <f t="shared" si="3"/>
        <v>19</v>
      </c>
      <c r="O5" s="7">
        <f t="shared" si="4"/>
        <v>5.2631578947368425</v>
      </c>
      <c r="P5" s="2">
        <f t="shared" si="5"/>
        <v>20.456911999999999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 t="s">
        <v>13</v>
      </c>
      <c r="AE5" s="14" t="s">
        <v>13</v>
      </c>
      <c r="AF5" s="14" t="s">
        <v>13</v>
      </c>
      <c r="AG5" s="12">
        <f t="shared" si="8"/>
        <v>3.9375E-4</v>
      </c>
      <c r="AH5" s="1">
        <f t="shared" si="9"/>
        <v>7.4999999999999997E-2</v>
      </c>
      <c r="AI5" s="3">
        <f t="shared" si="0"/>
        <v>0</v>
      </c>
      <c r="AJ5" s="6">
        <f t="shared" si="1"/>
        <v>196.43701280563192</v>
      </c>
      <c r="AK5" s="11">
        <f t="shared" si="10"/>
        <v>3.9375E-4</v>
      </c>
      <c r="AL5" s="14" t="str">
        <f t="shared" si="11"/>
        <v>-</v>
      </c>
      <c r="AM5" s="14" t="str">
        <f t="shared" si="12"/>
        <v>-</v>
      </c>
      <c r="AN5" s="14" t="s">
        <v>13</v>
      </c>
      <c r="AO5" s="14" t="s">
        <v>13</v>
      </c>
      <c r="AP5" s="13">
        <f t="shared" si="14"/>
        <v>2.8E-3</v>
      </c>
      <c r="AQ5" s="1" t="str">
        <f>IF(AN5&lt;AP5,"CUMPLE","NO CUMPLE")</f>
        <v>NO CUMPLE</v>
      </c>
      <c r="AR5" s="1" t="str">
        <f t="shared" si="16"/>
        <v>NO CUMPLE</v>
      </c>
      <c r="AS5" s="13" t="s">
        <v>13</v>
      </c>
      <c r="AT5" t="s">
        <v>80</v>
      </c>
    </row>
    <row r="6" spans="1:46" x14ac:dyDescent="0.25">
      <c r="A6" s="1" t="s">
        <v>11</v>
      </c>
      <c r="B6" s="1">
        <v>4.88</v>
      </c>
      <c r="C6" s="1">
        <v>3.55</v>
      </c>
      <c r="D6" s="2">
        <f>B6/C6</f>
        <v>1.3746478873239436</v>
      </c>
      <c r="E6" s="3" t="s">
        <v>23</v>
      </c>
      <c r="F6" s="3">
        <v>15</v>
      </c>
      <c r="G6" s="1">
        <v>0.93700000000000006</v>
      </c>
      <c r="H6" s="1" t="s">
        <v>14</v>
      </c>
      <c r="I6" s="1">
        <v>0.23</v>
      </c>
      <c r="J6" s="1">
        <v>0.2</v>
      </c>
      <c r="K6" s="1">
        <f t="shared" si="2"/>
        <v>0.59600000000000009</v>
      </c>
      <c r="L6" s="1">
        <v>100</v>
      </c>
      <c r="M6" s="1">
        <f t="shared" si="21"/>
        <v>2.6999999999999997</v>
      </c>
      <c r="N6" s="6">
        <f t="shared" si="3"/>
        <v>19</v>
      </c>
      <c r="O6" s="7">
        <f t="shared" si="4"/>
        <v>5.2631578947368425</v>
      </c>
      <c r="P6" s="2">
        <f t="shared" si="5"/>
        <v>10.325104000000001</v>
      </c>
      <c r="Q6" s="1">
        <v>1</v>
      </c>
      <c r="R6" s="1">
        <v>8.5000000000000006E-2</v>
      </c>
      <c r="S6" s="1">
        <v>0</v>
      </c>
      <c r="T6" s="1">
        <v>26.7</v>
      </c>
      <c r="U6" s="1">
        <v>41.9</v>
      </c>
      <c r="V6" s="1">
        <v>0</v>
      </c>
      <c r="W6" s="1">
        <v>12.8</v>
      </c>
      <c r="X6" s="1">
        <v>25.5</v>
      </c>
      <c r="Y6" s="3">
        <f>$P$6/T6</f>
        <v>0.3867080149812735</v>
      </c>
      <c r="Z6" s="3">
        <f t="shared" ref="Z6:AC6" si="22">$P$6/U6</f>
        <v>0.24642252983293561</v>
      </c>
      <c r="AA6" s="3">
        <v>0</v>
      </c>
      <c r="AB6" s="3">
        <f t="shared" si="22"/>
        <v>0.80664875000000003</v>
      </c>
      <c r="AC6" s="3">
        <f t="shared" si="22"/>
        <v>0.40490603921568635</v>
      </c>
      <c r="AD6" s="1">
        <v>15.1</v>
      </c>
      <c r="AE6" s="14">
        <f t="shared" si="18"/>
        <v>1.7209376619040605E-3</v>
      </c>
      <c r="AF6" s="14">
        <f t="shared" si="7"/>
        <v>2.0362409019130672E-3</v>
      </c>
      <c r="AG6" s="12">
        <f t="shared" si="8"/>
        <v>1.3724999999999998E-3</v>
      </c>
      <c r="AH6" s="1">
        <f t="shared" si="9"/>
        <v>7.4999999999999997E-2</v>
      </c>
      <c r="AI6" s="3">
        <f t="shared" si="0"/>
        <v>0.58197812500000001</v>
      </c>
      <c r="AJ6" s="6">
        <f t="shared" si="1"/>
        <v>684.72330177963136</v>
      </c>
      <c r="AK6" s="11">
        <f t="shared" si="10"/>
        <v>1.3724999999999998E-3</v>
      </c>
      <c r="AL6" s="14">
        <f t="shared" si="11"/>
        <v>1.7209376619040605E-3</v>
      </c>
      <c r="AM6" s="14">
        <f t="shared" si="12"/>
        <v>2.0362409019130672E-3</v>
      </c>
      <c r="AN6" s="14">
        <f t="shared" si="13"/>
        <v>4.4824422821687152E-3</v>
      </c>
      <c r="AO6" s="14">
        <f t="shared" si="19"/>
        <v>5.3036972328898485E-3</v>
      </c>
      <c r="AP6" s="13">
        <f t="shared" si="14"/>
        <v>7.0999999999999995E-3</v>
      </c>
      <c r="AQ6" s="1" t="str">
        <f t="shared" si="15"/>
        <v>CUMPLE</v>
      </c>
      <c r="AR6" s="1" t="str">
        <f t="shared" si="16"/>
        <v>CUMPLE</v>
      </c>
      <c r="AS6" s="13" t="s">
        <v>13</v>
      </c>
    </row>
    <row r="7" spans="1:46" x14ac:dyDescent="0.25">
      <c r="A7" s="1" t="s">
        <v>12</v>
      </c>
      <c r="B7" s="1">
        <v>3.22</v>
      </c>
      <c r="C7" s="1">
        <v>3.7</v>
      </c>
      <c r="D7" s="2">
        <f t="shared" si="20"/>
        <v>1.1490683229813665</v>
      </c>
      <c r="E7" s="3" t="s">
        <v>24</v>
      </c>
      <c r="F7" s="3">
        <v>15</v>
      </c>
      <c r="G7" s="1">
        <v>0.8</v>
      </c>
      <c r="H7" s="1" t="s">
        <v>14</v>
      </c>
      <c r="I7" s="1">
        <v>0.23</v>
      </c>
      <c r="J7" s="1">
        <v>0.2</v>
      </c>
      <c r="K7" s="1">
        <f t="shared" si="2"/>
        <v>0.59600000000000009</v>
      </c>
      <c r="L7" s="1">
        <v>100</v>
      </c>
      <c r="M7" s="1">
        <f t="shared" si="21"/>
        <v>2.6999999999999997</v>
      </c>
      <c r="N7" s="6">
        <f t="shared" si="3"/>
        <v>19</v>
      </c>
      <c r="O7" s="7">
        <f t="shared" si="4"/>
        <v>5.2631578947368425</v>
      </c>
      <c r="P7" s="2">
        <f t="shared" si="5"/>
        <v>7.1007440000000015</v>
      </c>
      <c r="Q7" s="1">
        <v>1</v>
      </c>
      <c r="R7" s="1">
        <v>0.09</v>
      </c>
      <c r="S7" s="1">
        <v>0.39</v>
      </c>
      <c r="T7" s="1">
        <v>29.7</v>
      </c>
      <c r="U7" s="1">
        <v>54</v>
      </c>
      <c r="V7" s="1">
        <v>12.1</v>
      </c>
      <c r="W7" s="1">
        <v>0</v>
      </c>
      <c r="X7" s="1">
        <v>28.1</v>
      </c>
      <c r="Y7" s="3">
        <f>$P$7/T7</f>
        <v>0.23908228956228961</v>
      </c>
      <c r="Z7" s="3">
        <f t="shared" ref="Z7:AC7" si="23">$P$7/U7</f>
        <v>0.13149525925925928</v>
      </c>
      <c r="AA7" s="3">
        <f t="shared" si="23"/>
        <v>0.58683834710743821</v>
      </c>
      <c r="AB7" s="3">
        <v>0</v>
      </c>
      <c r="AC7" s="3">
        <f t="shared" si="23"/>
        <v>0.2526955160142349</v>
      </c>
      <c r="AD7" s="1">
        <v>25.05</v>
      </c>
      <c r="AE7" s="14">
        <f t="shared" si="18"/>
        <v>1.9664302882463052E-4</v>
      </c>
      <c r="AF7" s="14">
        <f t="shared" si="7"/>
        <v>2.3267116946337435E-4</v>
      </c>
      <c r="AG7" s="12">
        <f t="shared" si="8"/>
        <v>9.0562500000000007E-4</v>
      </c>
      <c r="AH7" s="1">
        <f t="shared" si="9"/>
        <v>7.4999999999999997E-2</v>
      </c>
      <c r="AI7" s="3">
        <f t="shared" si="0"/>
        <v>0.42339008264462824</v>
      </c>
      <c r="AJ7" s="6">
        <f t="shared" si="1"/>
        <v>451.80512945295357</v>
      </c>
      <c r="AK7" s="11">
        <f t="shared" si="10"/>
        <v>9.0562500000000007E-4</v>
      </c>
      <c r="AL7" s="14">
        <f t="shared" si="11"/>
        <v>1.9664302882463052E-4</v>
      </c>
      <c r="AM7" s="14">
        <f t="shared" si="12"/>
        <v>2.3267116946337435E-4</v>
      </c>
      <c r="AN7" s="14">
        <f t="shared" si="13"/>
        <v>5.121864936827585E-4</v>
      </c>
      <c r="AO7" s="14">
        <f t="shared" si="19"/>
        <v>6.0602723209064941E-4</v>
      </c>
      <c r="AP7" s="13">
        <f t="shared" si="14"/>
        <v>6.4400000000000004E-3</v>
      </c>
      <c r="AQ7" s="1" t="str">
        <f>IF(AN7&lt;AP7,"CUMPLE","NO CUMPLE")</f>
        <v>CUMPLE</v>
      </c>
      <c r="AR7" s="1" t="str">
        <f t="shared" si="16"/>
        <v>CUMPLE</v>
      </c>
      <c r="AS7" s="13" t="s">
        <v>13</v>
      </c>
    </row>
    <row r="8" spans="1:46" x14ac:dyDescent="0.25">
      <c r="A8" s="1">
        <v>306</v>
      </c>
      <c r="B8" s="1">
        <v>5.5</v>
      </c>
      <c r="C8" s="1">
        <v>5</v>
      </c>
      <c r="D8" s="2">
        <f>B8/C8</f>
        <v>1.1000000000000001</v>
      </c>
      <c r="E8" s="3" t="s">
        <v>23</v>
      </c>
      <c r="F8" s="3">
        <v>15</v>
      </c>
      <c r="G8" s="1">
        <v>0.88</v>
      </c>
      <c r="H8" s="1" t="s">
        <v>14</v>
      </c>
      <c r="I8" s="1">
        <v>0.23</v>
      </c>
      <c r="J8" s="1">
        <v>0.2</v>
      </c>
      <c r="K8" s="1">
        <f t="shared" si="2"/>
        <v>0.59600000000000009</v>
      </c>
      <c r="L8" s="1">
        <v>100</v>
      </c>
      <c r="M8" s="1">
        <f t="shared" si="21"/>
        <v>2.6999999999999997</v>
      </c>
      <c r="N8" s="6">
        <f t="shared" si="3"/>
        <v>19</v>
      </c>
      <c r="O8" s="7">
        <f t="shared" si="4"/>
        <v>5.2631578947368425</v>
      </c>
      <c r="P8" s="2">
        <f t="shared" si="5"/>
        <v>16.39</v>
      </c>
      <c r="Q8" s="1">
        <v>1</v>
      </c>
      <c r="R8" s="1">
        <v>0.19</v>
      </c>
      <c r="S8" s="1">
        <v>0.03</v>
      </c>
      <c r="T8" s="1">
        <v>35.1</v>
      </c>
      <c r="U8" s="1">
        <v>31.7</v>
      </c>
      <c r="V8" s="1">
        <v>0</v>
      </c>
      <c r="W8" s="1">
        <v>12</v>
      </c>
      <c r="X8" s="1">
        <v>25.5</v>
      </c>
      <c r="Y8" s="3">
        <f>$P$8/T8</f>
        <v>0.46695156695156698</v>
      </c>
      <c r="Z8" s="3">
        <f t="shared" ref="Z8:AC8" si="24">$P$8/U8</f>
        <v>0.5170347003154574</v>
      </c>
      <c r="AA8" s="3">
        <v>0</v>
      </c>
      <c r="AB8" s="3">
        <f t="shared" si="24"/>
        <v>1.3658333333333335</v>
      </c>
      <c r="AC8" s="3">
        <f t="shared" si="24"/>
        <v>0.64274509803921576</v>
      </c>
      <c r="AD8" s="1">
        <v>23.7</v>
      </c>
      <c r="AE8" s="14">
        <f t="shared" si="18"/>
        <v>1.7691522547394346E-3</v>
      </c>
      <c r="AF8" s="14">
        <f t="shared" si="7"/>
        <v>2.0932891774978141E-3</v>
      </c>
      <c r="AG8" s="12">
        <f t="shared" si="8"/>
        <v>1.5468749999999999E-3</v>
      </c>
      <c r="AH8" s="1">
        <f t="shared" si="9"/>
        <v>7.4999999999999997E-2</v>
      </c>
      <c r="AI8" s="3">
        <f t="shared" si="0"/>
        <v>0.98541666666666672</v>
      </c>
      <c r="AJ8" s="6">
        <f t="shared" si="1"/>
        <v>771.71683602212534</v>
      </c>
      <c r="AK8" s="11">
        <f t="shared" si="10"/>
        <v>1.5468749999999999E-3</v>
      </c>
      <c r="AL8" s="14">
        <f t="shared" si="11"/>
        <v>1.7691522547394346E-3</v>
      </c>
      <c r="AM8" s="14">
        <f t="shared" si="12"/>
        <v>2.0932891774978141E-3</v>
      </c>
      <c r="AN8" s="14">
        <f t="shared" si="13"/>
        <v>4.6080244774608526E-3</v>
      </c>
      <c r="AO8" s="14">
        <f t="shared" si="19"/>
        <v>5.4522880902268638E-3</v>
      </c>
      <c r="AP8" s="13">
        <f t="shared" si="14"/>
        <v>0.01</v>
      </c>
      <c r="AQ8" s="1" t="str">
        <f t="shared" si="15"/>
        <v>CUMPLE</v>
      </c>
      <c r="AR8" s="1" t="str">
        <f t="shared" si="16"/>
        <v>CUMPLE</v>
      </c>
      <c r="AS8" s="13" t="s">
        <v>13</v>
      </c>
    </row>
    <row r="9" spans="1:46" x14ac:dyDescent="0.25">
      <c r="A9" s="1">
        <v>307</v>
      </c>
      <c r="B9" s="1">
        <v>5.75</v>
      </c>
      <c r="C9" s="1">
        <v>8.58</v>
      </c>
      <c r="D9" s="2">
        <f t="shared" si="20"/>
        <v>1.4921739130434784</v>
      </c>
      <c r="E9" s="3" t="s">
        <v>22</v>
      </c>
      <c r="F9" s="3">
        <v>15</v>
      </c>
      <c r="G9" s="1">
        <v>0.59</v>
      </c>
      <c r="H9" s="1" t="s">
        <v>14</v>
      </c>
      <c r="I9" s="1">
        <v>0.23</v>
      </c>
      <c r="J9" s="1">
        <v>0.2</v>
      </c>
      <c r="K9" s="1">
        <f t="shared" si="2"/>
        <v>0.59600000000000009</v>
      </c>
      <c r="L9" s="1">
        <v>100</v>
      </c>
      <c r="M9" s="1">
        <f t="shared" si="21"/>
        <v>2.6999999999999997</v>
      </c>
      <c r="N9" s="6">
        <f t="shared" si="3"/>
        <v>19</v>
      </c>
      <c r="O9" s="7">
        <f t="shared" si="4"/>
        <v>5.2631578947368425</v>
      </c>
      <c r="P9" s="2">
        <f t="shared" si="5"/>
        <v>29.403660000000006</v>
      </c>
      <c r="Q9" s="1">
        <v>1</v>
      </c>
      <c r="R9" s="1">
        <v>1.1399999999999999</v>
      </c>
      <c r="S9" s="1">
        <v>1.49</v>
      </c>
      <c r="T9" s="1">
        <v>41.3</v>
      </c>
      <c r="U9" s="1">
        <v>114</v>
      </c>
      <c r="V9" s="1">
        <v>18.600000000000001</v>
      </c>
      <c r="W9" s="1">
        <v>26.2</v>
      </c>
      <c r="X9" s="1">
        <v>0</v>
      </c>
      <c r="Y9" s="3">
        <f>$P$9/T9</f>
        <v>0.71195302663438276</v>
      </c>
      <c r="Z9" s="3">
        <f t="shared" ref="Z9:AB9" si="25">$P$9/U9</f>
        <v>0.25792684210526323</v>
      </c>
      <c r="AA9" s="3">
        <f t="shared" si="25"/>
        <v>1.5808419354838712</v>
      </c>
      <c r="AB9" s="3">
        <f t="shared" si="25"/>
        <v>1.1222770992366415</v>
      </c>
      <c r="AC9" s="3">
        <v>0</v>
      </c>
      <c r="AD9" s="1">
        <v>35.799999999999997</v>
      </c>
      <c r="AE9" s="14">
        <f t="shared" si="18"/>
        <v>1.3991077118430807E-3</v>
      </c>
      <c r="AF9" s="14">
        <f t="shared" si="7"/>
        <v>1.6554465696827223E-3</v>
      </c>
      <c r="AG9" s="12">
        <f t="shared" si="8"/>
        <v>1.6171874999999999E-3</v>
      </c>
      <c r="AH9" s="1">
        <f t="shared" si="9"/>
        <v>7.4999999999999997E-2</v>
      </c>
      <c r="AI9" s="3">
        <f t="shared" si="0"/>
        <v>1.1405403225806452</v>
      </c>
      <c r="AJ9" s="6">
        <f t="shared" si="1"/>
        <v>806.79487402313123</v>
      </c>
      <c r="AK9" s="11">
        <f t="shared" si="10"/>
        <v>1.6171874999999999E-3</v>
      </c>
      <c r="AL9" s="14">
        <f t="shared" si="11"/>
        <v>1.3991077118430807E-3</v>
      </c>
      <c r="AM9" s="14">
        <f t="shared" si="12"/>
        <v>1.6554465696827223E-3</v>
      </c>
      <c r="AN9" s="14">
        <f t="shared" si="13"/>
        <v>3.6441875285215123E-3</v>
      </c>
      <c r="AO9" s="14">
        <f t="shared" si="19"/>
        <v>4.3118608326619739E-3</v>
      </c>
      <c r="AP9" s="13">
        <f t="shared" si="14"/>
        <v>1.15E-2</v>
      </c>
      <c r="AQ9" s="1" t="str">
        <f t="shared" si="15"/>
        <v>CUMPLE</v>
      </c>
      <c r="AR9" s="1" t="str">
        <f t="shared" si="16"/>
        <v>CUMPLE</v>
      </c>
      <c r="AS9" s="13" t="s">
        <v>13</v>
      </c>
    </row>
    <row r="10" spans="1:46" x14ac:dyDescent="0.25">
      <c r="A10" s="1">
        <v>308</v>
      </c>
      <c r="B10" s="1">
        <v>6.21</v>
      </c>
      <c r="C10" s="1">
        <v>8.98</v>
      </c>
      <c r="D10" s="2">
        <f t="shared" si="20"/>
        <v>1.4460547504025765</v>
      </c>
      <c r="E10" s="3" t="s">
        <v>22</v>
      </c>
      <c r="F10" s="3">
        <v>15</v>
      </c>
      <c r="G10" s="1">
        <v>0.59</v>
      </c>
      <c r="H10" s="1" t="s">
        <v>14</v>
      </c>
      <c r="I10" s="1">
        <v>0.23</v>
      </c>
      <c r="J10" s="1">
        <v>0.2</v>
      </c>
      <c r="K10" s="1">
        <f t="shared" si="2"/>
        <v>0.59600000000000009</v>
      </c>
      <c r="L10" s="1">
        <v>100</v>
      </c>
      <c r="M10" s="1">
        <f t="shared" si="21"/>
        <v>2.6999999999999997</v>
      </c>
      <c r="N10" s="6">
        <f t="shared" si="3"/>
        <v>19</v>
      </c>
      <c r="O10" s="7">
        <f t="shared" si="4"/>
        <v>5.2631578947368425</v>
      </c>
      <c r="P10" s="2">
        <f t="shared" si="5"/>
        <v>33.236416800000008</v>
      </c>
      <c r="Q10" s="1">
        <v>1</v>
      </c>
      <c r="R10" s="1">
        <v>1.0900000000000001</v>
      </c>
      <c r="S10" s="1">
        <v>1.43</v>
      </c>
      <c r="T10" s="1">
        <v>40.9</v>
      </c>
      <c r="U10" s="1">
        <v>107</v>
      </c>
      <c r="V10" s="1">
        <v>18.2</v>
      </c>
      <c r="W10" s="1">
        <v>25.3</v>
      </c>
      <c r="X10" s="1">
        <v>0</v>
      </c>
      <c r="Y10" s="3">
        <f>$P$10/T10</f>
        <v>0.81262632762836207</v>
      </c>
      <c r="Z10" s="3">
        <f t="shared" ref="Z10:AB10" si="26">$P$10/U10</f>
        <v>0.31062071775700945</v>
      </c>
      <c r="AA10" s="3">
        <f t="shared" si="26"/>
        <v>1.8261767472527477</v>
      </c>
      <c r="AB10" s="3">
        <f t="shared" si="26"/>
        <v>1.313692363636364</v>
      </c>
      <c r="AC10" s="3">
        <v>0</v>
      </c>
      <c r="AD10" s="1">
        <v>36.4</v>
      </c>
      <c r="AE10" s="14">
        <f t="shared" si="18"/>
        <v>1.8720947068713932E-3</v>
      </c>
      <c r="AF10" s="14">
        <f t="shared" si="7"/>
        <v>2.21509232947393E-3</v>
      </c>
      <c r="AG10" s="12">
        <f t="shared" si="8"/>
        <v>1.7465624999999999E-3</v>
      </c>
      <c r="AH10" s="1">
        <f t="shared" si="9"/>
        <v>7.4999999999999997E-2</v>
      </c>
      <c r="AI10" s="3">
        <f t="shared" si="0"/>
        <v>1.3175436263736267</v>
      </c>
      <c r="AJ10" s="6">
        <f t="shared" si="1"/>
        <v>871.33846394498164</v>
      </c>
      <c r="AK10" s="11">
        <f t="shared" si="10"/>
        <v>1.7465624999999999E-3</v>
      </c>
      <c r="AL10" s="14">
        <f t="shared" si="11"/>
        <v>1.8720947068713932E-3</v>
      </c>
      <c r="AM10" s="14">
        <f t="shared" si="12"/>
        <v>2.21509232947393E-3</v>
      </c>
      <c r="AN10" s="14">
        <f t="shared" si="13"/>
        <v>4.8761536551068839E-3</v>
      </c>
      <c r="AO10" s="14">
        <f t="shared" si="19"/>
        <v>5.7695428116530268E-3</v>
      </c>
      <c r="AP10" s="13">
        <f t="shared" si="14"/>
        <v>1.242E-2</v>
      </c>
      <c r="AQ10" s="1" t="str">
        <f t="shared" si="15"/>
        <v>CUMPLE</v>
      </c>
      <c r="AR10" s="1" t="str">
        <f t="shared" si="16"/>
        <v>CUMPLE</v>
      </c>
      <c r="AS10" s="13" t="s">
        <v>13</v>
      </c>
    </row>
    <row r="11" spans="1:46" x14ac:dyDescent="0.25">
      <c r="AN11" s="10"/>
      <c r="AQ11" t="s">
        <v>81</v>
      </c>
    </row>
    <row r="12" spans="1:46" x14ac:dyDescent="0.25">
      <c r="A12" t="s">
        <v>39</v>
      </c>
      <c r="L12" t="s">
        <v>45</v>
      </c>
      <c r="P12" t="s">
        <v>53</v>
      </c>
    </row>
    <row r="13" spans="1:46" x14ac:dyDescent="0.25">
      <c r="A13" s="19" t="s">
        <v>33</v>
      </c>
      <c r="B13" s="19"/>
      <c r="C13" s="1" t="s">
        <v>35</v>
      </c>
      <c r="D13" s="1" t="s">
        <v>36</v>
      </c>
      <c r="E13" s="3" t="s">
        <v>37</v>
      </c>
      <c r="F13" s="1" t="s">
        <v>38</v>
      </c>
      <c r="G13" s="1" t="s">
        <v>72</v>
      </c>
      <c r="L13" s="1" t="s">
        <v>43</v>
      </c>
      <c r="M13" s="1" t="s">
        <v>41</v>
      </c>
      <c r="P13" s="1" t="s">
        <v>75</v>
      </c>
      <c r="Q13" s="1" t="s">
        <v>46</v>
      </c>
      <c r="R13" s="1" t="s">
        <v>51</v>
      </c>
      <c r="S13" s="1" t="s">
        <v>47</v>
      </c>
      <c r="T13" s="1" t="s">
        <v>49</v>
      </c>
      <c r="U13" s="1" t="s">
        <v>76</v>
      </c>
      <c r="V13" s="1" t="s">
        <v>77</v>
      </c>
      <c r="W13" s="1" t="s">
        <v>54</v>
      </c>
      <c r="X13" s="1" t="s">
        <v>60</v>
      </c>
      <c r="Y13" s="1" t="s">
        <v>62</v>
      </c>
    </row>
    <row r="14" spans="1:46" x14ac:dyDescent="0.25">
      <c r="A14" s="1">
        <v>301</v>
      </c>
      <c r="B14" s="1">
        <v>302</v>
      </c>
      <c r="C14" s="3">
        <f>AB2</f>
        <v>1.1233815789473685</v>
      </c>
      <c r="D14" s="3">
        <f>AB3</f>
        <v>2.4257851875000003</v>
      </c>
      <c r="E14" s="5">
        <f>ABS((C14-D14)/C14)</f>
        <v>1.1593599476439793</v>
      </c>
      <c r="F14" s="3">
        <f>0.7*MAX(C14:D14)</f>
        <v>1.6980496312500002</v>
      </c>
      <c r="G14" s="1" t="s">
        <v>92</v>
      </c>
      <c r="L14" s="1">
        <v>0.8</v>
      </c>
      <c r="M14" s="1">
        <v>0.503</v>
      </c>
      <c r="P14" s="1">
        <v>35</v>
      </c>
      <c r="Q14" s="1">
        <v>35</v>
      </c>
      <c r="R14" s="1">
        <v>350</v>
      </c>
      <c r="S14" s="1">
        <v>0.35</v>
      </c>
      <c r="T14" s="11">
        <f>S14*10000</f>
        <v>3500</v>
      </c>
      <c r="U14" s="1">
        <f>4700*SQRT(Q14)</f>
        <v>27805.574980568195</v>
      </c>
      <c r="V14" s="1">
        <f>U14*100</f>
        <v>2780557.4980568197</v>
      </c>
      <c r="W14" s="1">
        <f>2*SQRT(R14)</f>
        <v>37.416573867739416</v>
      </c>
      <c r="X14" s="11">
        <f>W14/1000</f>
        <v>3.7416573867739417E-2</v>
      </c>
      <c r="Y14" s="11">
        <f>X14*10000</f>
        <v>374.16573867739419</v>
      </c>
      <c r="Z14" t="s">
        <v>70</v>
      </c>
      <c r="AQ14" s="15" t="s">
        <v>84</v>
      </c>
      <c r="AR14" s="15"/>
    </row>
    <row r="15" spans="1:46" x14ac:dyDescent="0.25">
      <c r="A15" s="1">
        <v>301</v>
      </c>
      <c r="B15" s="1">
        <v>303</v>
      </c>
      <c r="C15" s="3">
        <f>AA2</f>
        <v>1.5894654255319149</v>
      </c>
      <c r="D15" s="3">
        <f>AA4</f>
        <v>1.3603700000000003</v>
      </c>
      <c r="E15" s="5">
        <f t="shared" ref="E15:E19" si="27">(C15-D15)/C15</f>
        <v>0.14413363251059569</v>
      </c>
      <c r="F15" s="3">
        <f>(D15+C15)*0.9/2</f>
        <v>1.3274259414893619</v>
      </c>
      <c r="G15" s="1" t="s">
        <v>93</v>
      </c>
      <c r="L15" s="1">
        <v>1</v>
      </c>
      <c r="M15" s="1">
        <v>0.78500000000000003</v>
      </c>
      <c r="O15" s="8"/>
      <c r="P15" s="1">
        <v>25</v>
      </c>
      <c r="Q15" s="1">
        <v>25</v>
      </c>
      <c r="R15" s="1">
        <v>250</v>
      </c>
      <c r="S15" s="1">
        <v>0.25</v>
      </c>
      <c r="T15" s="11">
        <f>S15*10000</f>
        <v>2500</v>
      </c>
      <c r="U15" s="1">
        <f t="shared" ref="U15" si="28">4700*SQRT(Q15)</f>
        <v>23500</v>
      </c>
      <c r="V15" s="1">
        <f t="shared" ref="V15" si="29">U15*100</f>
        <v>2350000</v>
      </c>
      <c r="W15" s="1">
        <f>2*SQRT(R15)</f>
        <v>31.622776601683793</v>
      </c>
      <c r="X15" s="11">
        <f>W15/1000</f>
        <v>3.1622776601683791E-2</v>
      </c>
      <c r="Y15" s="11">
        <f>X15*10000</f>
        <v>316.2277660168379</v>
      </c>
      <c r="Z15" t="s">
        <v>71</v>
      </c>
      <c r="AB15" s="11" t="s">
        <v>85</v>
      </c>
      <c r="AC15" s="11">
        <v>0.9</v>
      </c>
      <c r="AD15" s="11"/>
      <c r="AE15" s="11"/>
    </row>
    <row r="16" spans="1:46" x14ac:dyDescent="0.25">
      <c r="A16" s="1">
        <v>303</v>
      </c>
      <c r="B16" s="1">
        <v>304</v>
      </c>
      <c r="C16" s="3">
        <f>AB4</f>
        <v>0</v>
      </c>
      <c r="D16" s="1">
        <f>AB5</f>
        <v>0</v>
      </c>
      <c r="E16" s="5">
        <v>1</v>
      </c>
      <c r="F16" s="3">
        <f t="shared" ref="F16:F20" si="30">0.7*MAX(C16:D16)</f>
        <v>0</v>
      </c>
      <c r="G16" s="1" t="s">
        <v>92</v>
      </c>
      <c r="L16" s="1">
        <v>1.2</v>
      </c>
      <c r="M16" s="1">
        <v>1.1299999999999999</v>
      </c>
      <c r="P16" s="1" t="s">
        <v>52</v>
      </c>
      <c r="Q16" s="1"/>
      <c r="R16" s="1"/>
      <c r="S16" s="1"/>
      <c r="T16" s="1"/>
      <c r="U16" s="11"/>
      <c r="V16" s="1"/>
      <c r="AB16" s="11" t="s">
        <v>86</v>
      </c>
      <c r="AC16" s="11">
        <v>4200</v>
      </c>
      <c r="AD16" s="11" t="s">
        <v>51</v>
      </c>
      <c r="AE16" s="11" t="s">
        <v>89</v>
      </c>
    </row>
    <row r="17" spans="1:36" x14ac:dyDescent="0.25">
      <c r="A17" s="1" t="s">
        <v>11</v>
      </c>
      <c r="B17" s="1">
        <v>304</v>
      </c>
      <c r="C17" s="3">
        <f>AB6</f>
        <v>0.80664875000000003</v>
      </c>
      <c r="D17" s="1">
        <f>AB5</f>
        <v>0</v>
      </c>
      <c r="E17" s="5">
        <f t="shared" si="27"/>
        <v>1</v>
      </c>
      <c r="F17" s="3">
        <f t="shared" si="30"/>
        <v>0.56465412500000001</v>
      </c>
      <c r="G17" s="1" t="s">
        <v>92</v>
      </c>
      <c r="L17" s="1">
        <v>1.4</v>
      </c>
      <c r="M17" s="1">
        <v>1.54</v>
      </c>
      <c r="AB17" s="11" t="s">
        <v>87</v>
      </c>
      <c r="AC17" s="11">
        <v>2</v>
      </c>
      <c r="AD17" s="11" t="s">
        <v>88</v>
      </c>
      <c r="AE17" s="11"/>
    </row>
    <row r="18" spans="1:36" x14ac:dyDescent="0.25">
      <c r="A18" s="1" t="s">
        <v>11</v>
      </c>
      <c r="B18" s="1" t="s">
        <v>12</v>
      </c>
      <c r="C18" s="3">
        <f>AA6</f>
        <v>0</v>
      </c>
      <c r="D18" s="3">
        <f>AA7</f>
        <v>0.58683834710743821</v>
      </c>
      <c r="E18" s="5">
        <f>(D18-C18)/D18</f>
        <v>1</v>
      </c>
      <c r="F18" s="3">
        <f t="shared" si="30"/>
        <v>0.41078684297520673</v>
      </c>
      <c r="G18" s="1" t="s">
        <v>93</v>
      </c>
      <c r="L18" s="1">
        <v>1.6</v>
      </c>
      <c r="M18" s="1">
        <v>2.0099999999999998</v>
      </c>
      <c r="P18" s="1" t="s">
        <v>55</v>
      </c>
      <c r="Q18" s="11">
        <f>I2+J2</f>
        <v>0.43000000000000005</v>
      </c>
      <c r="R18" s="11" t="s">
        <v>56</v>
      </c>
      <c r="S18" t="s">
        <v>58</v>
      </c>
      <c r="AB18" s="11" t="s">
        <v>90</v>
      </c>
      <c r="AC18" s="16">
        <f>AC20-AC17</f>
        <v>13</v>
      </c>
      <c r="AD18" s="11" t="s">
        <v>88</v>
      </c>
      <c r="AE18" s="11" t="s">
        <v>91</v>
      </c>
    </row>
    <row r="19" spans="1:36" x14ac:dyDescent="0.25">
      <c r="A19" s="1">
        <v>303</v>
      </c>
      <c r="B19" s="1">
        <v>306</v>
      </c>
      <c r="C19" s="3">
        <f>AA4</f>
        <v>1.3603700000000003</v>
      </c>
      <c r="D19" s="3">
        <f>AA8</f>
        <v>0</v>
      </c>
      <c r="E19" s="5">
        <f t="shared" si="27"/>
        <v>1</v>
      </c>
      <c r="F19" s="3">
        <f t="shared" si="30"/>
        <v>0.95225900000000019</v>
      </c>
      <c r="G19" s="1" t="s">
        <v>93</v>
      </c>
      <c r="L19" s="1">
        <v>1.8</v>
      </c>
      <c r="M19" s="1">
        <v>2.54</v>
      </c>
      <c r="P19" s="1" t="s">
        <v>65</v>
      </c>
      <c r="Q19" s="1">
        <f>I2/(J2+I2)</f>
        <v>0.53488372093023251</v>
      </c>
      <c r="R19" t="s">
        <v>66</v>
      </c>
      <c r="AB19" s="11" t="s">
        <v>104</v>
      </c>
      <c r="AC19" s="11">
        <v>100</v>
      </c>
      <c r="AD19" s="11" t="s">
        <v>88</v>
      </c>
      <c r="AE19" t="s">
        <v>99</v>
      </c>
    </row>
    <row r="20" spans="1:36" x14ac:dyDescent="0.25">
      <c r="A20" s="1">
        <v>306</v>
      </c>
      <c r="B20" s="1">
        <v>307</v>
      </c>
      <c r="C20" s="3">
        <f>AA8</f>
        <v>0</v>
      </c>
      <c r="D20" s="3">
        <f>AA9</f>
        <v>1.5808419354838712</v>
      </c>
      <c r="E20" s="5">
        <v>1</v>
      </c>
      <c r="F20" s="3">
        <f t="shared" si="30"/>
        <v>1.1065893548387098</v>
      </c>
      <c r="G20" s="1" t="s">
        <v>93</v>
      </c>
      <c r="L20" s="1">
        <v>20</v>
      </c>
      <c r="M20" s="1">
        <v>3.14</v>
      </c>
      <c r="AB20" s="11" t="s">
        <v>105</v>
      </c>
      <c r="AC20" s="11">
        <v>15</v>
      </c>
      <c r="AD20" s="11" t="s">
        <v>88</v>
      </c>
    </row>
    <row r="21" spans="1:36" x14ac:dyDescent="0.25">
      <c r="A21" s="1">
        <v>307</v>
      </c>
      <c r="B21" s="1">
        <v>308</v>
      </c>
      <c r="C21" s="3">
        <f>AB9</f>
        <v>1.1222770992366415</v>
      </c>
      <c r="D21" s="3">
        <f>AB10</f>
        <v>1.313692363636364</v>
      </c>
      <c r="E21" s="5">
        <f>ABS((C21-D21)/C21)</f>
        <v>0.170559716962879</v>
      </c>
      <c r="F21" s="3">
        <f>(C21+D21)*0.9/2</f>
        <v>1.0961862582928525</v>
      </c>
      <c r="G21" s="1" t="s">
        <v>92</v>
      </c>
      <c r="L21" s="1">
        <v>22</v>
      </c>
      <c r="M21" s="1">
        <v>3.8</v>
      </c>
    </row>
    <row r="22" spans="1:36" x14ac:dyDescent="0.25">
      <c r="L22" s="1">
        <v>25</v>
      </c>
      <c r="M22" s="1">
        <v>4.91</v>
      </c>
    </row>
    <row r="26" spans="1:36" x14ac:dyDescent="0.25">
      <c r="O26" s="19" t="s">
        <v>108</v>
      </c>
      <c r="P26" s="19"/>
      <c r="Q26" s="19"/>
      <c r="R26" s="19"/>
      <c r="S26" s="19"/>
      <c r="T26" s="19"/>
      <c r="U26" s="19"/>
      <c r="V26" s="19"/>
      <c r="AF26" s="18" t="s">
        <v>111</v>
      </c>
      <c r="AG26" s="18"/>
      <c r="AH26" s="18"/>
      <c r="AI26" s="18"/>
      <c r="AJ26" s="18"/>
    </row>
    <row r="27" spans="1:36" x14ac:dyDescent="0.25">
      <c r="A27" t="s">
        <v>94</v>
      </c>
      <c r="F27" s="19" t="s">
        <v>70</v>
      </c>
      <c r="G27" s="19"/>
      <c r="H27" s="19"/>
      <c r="I27" s="19"/>
      <c r="J27" s="19" t="s">
        <v>71</v>
      </c>
      <c r="K27" s="19"/>
      <c r="L27" s="19"/>
      <c r="M27" s="19"/>
      <c r="O27" s="19" t="s">
        <v>70</v>
      </c>
      <c r="P27" s="19"/>
      <c r="Q27" s="19"/>
      <c r="R27" s="19"/>
      <c r="S27" s="19" t="s">
        <v>71</v>
      </c>
      <c r="T27" s="19"/>
      <c r="U27" s="19"/>
      <c r="V27" s="19"/>
      <c r="W27" t="s">
        <v>109</v>
      </c>
      <c r="AF27" s="18"/>
      <c r="AG27" s="18"/>
      <c r="AH27" s="18"/>
      <c r="AI27" s="18"/>
      <c r="AJ27" s="18"/>
    </row>
    <row r="28" spans="1:36" x14ac:dyDescent="0.25">
      <c r="A28" s="4" t="s">
        <v>34</v>
      </c>
      <c r="B28" s="4" t="s">
        <v>95</v>
      </c>
      <c r="C28" s="4" t="s">
        <v>96</v>
      </c>
      <c r="D28" s="4" t="s">
        <v>97</v>
      </c>
      <c r="E28" s="4" t="s">
        <v>98</v>
      </c>
      <c r="F28" s="4" t="s">
        <v>107</v>
      </c>
      <c r="G28" s="4" t="s">
        <v>101</v>
      </c>
      <c r="H28" s="4" t="s">
        <v>102</v>
      </c>
      <c r="I28" s="4" t="s">
        <v>103</v>
      </c>
      <c r="J28" s="4" t="s">
        <v>100</v>
      </c>
      <c r="K28" s="4" t="s">
        <v>101</v>
      </c>
      <c r="L28" s="4" t="s">
        <v>102</v>
      </c>
      <c r="M28" s="4" t="s">
        <v>103</v>
      </c>
      <c r="N28" s="4" t="s">
        <v>106</v>
      </c>
      <c r="O28" s="4" t="s">
        <v>107</v>
      </c>
      <c r="P28" s="4" t="s">
        <v>101</v>
      </c>
      <c r="Q28" s="4" t="s">
        <v>102</v>
      </c>
      <c r="R28" s="4" t="s">
        <v>103</v>
      </c>
      <c r="S28" s="4" t="s">
        <v>100</v>
      </c>
      <c r="T28" s="4" t="s">
        <v>101</v>
      </c>
      <c r="U28" s="4" t="s">
        <v>102</v>
      </c>
      <c r="V28" s="4" t="s">
        <v>103</v>
      </c>
      <c r="W28" s="4" t="s">
        <v>110</v>
      </c>
      <c r="X28" s="4" t="s">
        <v>110</v>
      </c>
      <c r="Y28" s="4" t="s">
        <v>110</v>
      </c>
      <c r="Z28" s="4" t="s">
        <v>110</v>
      </c>
      <c r="AA28" s="4" t="s">
        <v>110</v>
      </c>
      <c r="AB28" s="4" t="s">
        <v>110</v>
      </c>
      <c r="AC28" s="4" t="s">
        <v>110</v>
      </c>
      <c r="AD28" s="4" t="s">
        <v>110</v>
      </c>
      <c r="AF28" s="18"/>
      <c r="AG28" s="18"/>
      <c r="AH28" s="18"/>
      <c r="AI28" s="18"/>
      <c r="AJ28" s="18"/>
    </row>
    <row r="29" spans="1:36" x14ac:dyDescent="0.25">
      <c r="A29" s="1">
        <v>301</v>
      </c>
      <c r="B29" s="1">
        <f>Y2*100000</f>
        <v>72004.698795180739</v>
      </c>
      <c r="C29" s="1">
        <f t="shared" ref="C29:D29" si="31">Z2*100000</f>
        <v>25323.686440677968</v>
      </c>
      <c r="D29" s="1">
        <f t="shared" si="31"/>
        <v>158946.54255319148</v>
      </c>
      <c r="E29" s="1">
        <f>AB2*100000</f>
        <v>112338.15789473684</v>
      </c>
      <c r="F29" s="2">
        <f t="shared" ref="F29:F37" si="32">((0.85*$R$14*$AC$19*$AC$18)/($AC$16))*(1-SQRT(1-((2*B29)/($AC$15*0.85*$R$14*$AC$19*$AC$18^2))))</f>
        <v>1.47714481503467</v>
      </c>
      <c r="G29" s="2">
        <f t="shared" ref="G29:G37" si="33">((0.85*$R$14*$AC$19*$AC$18)/($AC$16))*(1-SQRT(1-((2*C29)/($AC$15*0.85*$R$14*$AC$19*$AC$18^2))))</f>
        <v>0.51678768560164967</v>
      </c>
      <c r="H29" s="2">
        <f t="shared" ref="H29:H37" si="34">((0.85*$R$14*$AC$19*$AC$18)/($AC$16))*(1-SQRT(1-((2*D29)/($AC$15*0.85*$R$14*$AC$19*$AC$18^2))))</f>
        <v>3.2934625458818858</v>
      </c>
      <c r="I29" s="2">
        <f t="shared" ref="I29:I37" si="35">((0.85*$R$14*$AC$19*$AC$18)/($AC$16))*(1-SQRT(1-((2*E29)/($AC$15*0.85*$R$14*$AC$19*$AC$18^2))))</f>
        <v>2.3151884001179335</v>
      </c>
      <c r="J29" s="2">
        <f t="shared" ref="J29:J37" si="36">((0.85*$R$15*$AC$19*$AC$18)/($AC$16))*(1-SQRT(1-((2*B29)/($AC$15*0.85*$R$15*$AC$19*$AC$18^2))))</f>
        <v>1.4819929649135377</v>
      </c>
      <c r="K29" s="2">
        <f t="shared" ref="K29:K37" si="37">((0.85*$R$15*$AC$19*$AC$18)/($AC$16))*(1-SQRT(1-((2*C29)/($AC$15*0.85*$R$15*$AC$19*$AC$18^2))))</f>
        <v>0.51737234235220586</v>
      </c>
      <c r="L29" s="2">
        <f t="shared" ref="L29:L37" si="38">((0.85*$R$15*$AC$19*$AC$18)/($AC$16))*(1-SQRT(1-((2*D29)/($AC$15*0.85*$R$15*$AC$19*$AC$18^2))))</f>
        <v>3.3182681726173073</v>
      </c>
      <c r="M29" s="2">
        <f t="shared" ref="M29:M37" si="39">((0.85*$R$15*$AC$19*$AC$18)/($AC$16))*(1-SQRT(1-((2*E29)/($AC$15*0.85*$R$15*$AC$19*$AC$18^2))))</f>
        <v>2.3272561222196408</v>
      </c>
      <c r="N29" s="2">
        <f>M2</f>
        <v>2.6999999999999997</v>
      </c>
      <c r="O29" s="2">
        <f>IF(G29&lt;N29,N29,G29)</f>
        <v>2.6999999999999997</v>
      </c>
      <c r="P29" s="2">
        <f t="shared" ref="P29:V37" si="40">IF(H29&lt;O29,O29,H29)</f>
        <v>3.2934625458818858</v>
      </c>
      <c r="Q29" s="2">
        <f t="shared" si="40"/>
        <v>3.2934625458818858</v>
      </c>
      <c r="R29" s="2">
        <f t="shared" si="40"/>
        <v>3.2934625458818858</v>
      </c>
      <c r="S29" s="2">
        <f t="shared" si="40"/>
        <v>3.2934625458818858</v>
      </c>
      <c r="T29" s="2">
        <f t="shared" si="40"/>
        <v>3.3182681726173073</v>
      </c>
      <c r="U29" s="2">
        <f t="shared" si="40"/>
        <v>3.3182681726173073</v>
      </c>
      <c r="V29" s="2">
        <f t="shared" si="40"/>
        <v>3.3182681726173073</v>
      </c>
      <c r="W29" s="17">
        <f t="shared" ref="W29:W37" si="41">ROUNDUP($M$14*100/O29,0)</f>
        <v>19</v>
      </c>
      <c r="X29" s="17">
        <f t="shared" ref="X29:X37" si="42">ROUNDUP($M$14*100/P29,0)</f>
        <v>16</v>
      </c>
      <c r="Y29" s="17">
        <f t="shared" ref="Y29:Y37" si="43">ROUNDUP($M$14*100/Q29,0)</f>
        <v>16</v>
      </c>
      <c r="Z29" s="17">
        <f t="shared" ref="Z29:Z37" si="44">ROUNDUP($M$14*100/R29,0)</f>
        <v>16</v>
      </c>
      <c r="AA29" s="17">
        <f t="shared" ref="AA29:AA37" si="45">ROUNDUP($M$14*100/S29,0)</f>
        <v>16</v>
      </c>
      <c r="AB29" s="17">
        <f t="shared" ref="AB29:AB37" si="46">ROUNDUP($M$14*100/T29,0)</f>
        <v>16</v>
      </c>
      <c r="AC29" s="17">
        <f t="shared" ref="AC29:AC37" si="47">ROUNDUP($M$14*100/U29,0)</f>
        <v>16</v>
      </c>
      <c r="AD29" s="17">
        <f t="shared" ref="AD29:AD37" si="48">ROUNDUP($M$14*100/V29,0)</f>
        <v>16</v>
      </c>
      <c r="AF29" s="18"/>
      <c r="AG29" s="18"/>
      <c r="AH29" s="18"/>
      <c r="AI29" s="18"/>
      <c r="AJ29" s="18"/>
    </row>
    <row r="30" spans="1:36" x14ac:dyDescent="0.25">
      <c r="A30" s="1">
        <v>302</v>
      </c>
      <c r="B30" s="1">
        <f t="shared" ref="B30:B37" si="49">Y3*100000</f>
        <v>115858.39701492537</v>
      </c>
      <c r="C30" s="1">
        <f t="shared" ref="C30:C37" si="50">Z3*100000</f>
        <v>75000.121739130438</v>
      </c>
      <c r="D30" s="1">
        <f t="shared" ref="D30:D37" si="51">AA3*100000</f>
        <v>0</v>
      </c>
      <c r="E30" s="1">
        <f t="shared" ref="E30:E36" si="52">AB3*100000</f>
        <v>242578.51875000002</v>
      </c>
      <c r="F30" s="2">
        <f t="shared" si="32"/>
        <v>2.3887030106751448</v>
      </c>
      <c r="G30" s="2">
        <f t="shared" si="33"/>
        <v>1.5391167016800062</v>
      </c>
      <c r="H30" s="2">
        <f t="shared" si="34"/>
        <v>0</v>
      </c>
      <c r="I30" s="2">
        <f t="shared" si="35"/>
        <v>5.0764047726748807</v>
      </c>
      <c r="J30" s="2">
        <f t="shared" si="36"/>
        <v>2.401564258660625</v>
      </c>
      <c r="K30" s="2">
        <f t="shared" si="37"/>
        <v>1.5443852773402142</v>
      </c>
      <c r="L30" s="2">
        <f t="shared" si="38"/>
        <v>0</v>
      </c>
      <c r="M30" s="2">
        <f t="shared" si="39"/>
        <v>5.1370869943185271</v>
      </c>
      <c r="N30" s="2">
        <f t="shared" ref="N30:N37" si="53">M3</f>
        <v>2.6999999999999997</v>
      </c>
      <c r="O30" s="2">
        <f t="shared" ref="O30:O37" si="54">IF(G30&lt;N30,N30,G30)</f>
        <v>2.6999999999999997</v>
      </c>
      <c r="P30" s="2">
        <f t="shared" si="40"/>
        <v>2.6999999999999997</v>
      </c>
      <c r="Q30" s="2">
        <f t="shared" si="40"/>
        <v>5.0764047726748807</v>
      </c>
      <c r="R30" s="2">
        <f t="shared" si="40"/>
        <v>5.0764047726748807</v>
      </c>
      <c r="S30" s="2">
        <f t="shared" si="40"/>
        <v>5.0764047726748807</v>
      </c>
      <c r="T30" s="2">
        <f t="shared" si="40"/>
        <v>5.0764047726748807</v>
      </c>
      <c r="U30" s="2">
        <f t="shared" si="40"/>
        <v>5.1370869943185271</v>
      </c>
      <c r="V30" s="2">
        <f t="shared" si="40"/>
        <v>5.1370869943185271</v>
      </c>
      <c r="W30" s="17">
        <f t="shared" si="41"/>
        <v>19</v>
      </c>
      <c r="X30" s="17">
        <f t="shared" si="42"/>
        <v>19</v>
      </c>
      <c r="Y30" s="17">
        <f t="shared" si="43"/>
        <v>10</v>
      </c>
      <c r="Z30" s="17">
        <f t="shared" si="44"/>
        <v>10</v>
      </c>
      <c r="AA30" s="17">
        <f t="shared" si="45"/>
        <v>10</v>
      </c>
      <c r="AB30" s="17">
        <f t="shared" si="46"/>
        <v>10</v>
      </c>
      <c r="AC30" s="17">
        <f t="shared" si="47"/>
        <v>10</v>
      </c>
      <c r="AD30" s="17">
        <f t="shared" si="48"/>
        <v>10</v>
      </c>
      <c r="AF30" s="18"/>
      <c r="AG30" s="18"/>
      <c r="AH30" s="18"/>
      <c r="AI30" s="18"/>
      <c r="AJ30" s="18"/>
    </row>
    <row r="31" spans="1:36" x14ac:dyDescent="0.25">
      <c r="A31" s="1">
        <v>303</v>
      </c>
      <c r="B31" s="1">
        <f t="shared" si="49"/>
        <v>54414.80000000001</v>
      </c>
      <c r="C31" s="1">
        <f t="shared" si="50"/>
        <v>32912.177419354841</v>
      </c>
      <c r="D31" s="1">
        <f t="shared" si="51"/>
        <v>136037.00000000003</v>
      </c>
      <c r="E31" s="1">
        <f t="shared" si="52"/>
        <v>0</v>
      </c>
      <c r="F31" s="2">
        <f t="shared" si="32"/>
        <v>1.1140817157735288</v>
      </c>
      <c r="G31" s="2">
        <f t="shared" si="33"/>
        <v>0.67221710469537377</v>
      </c>
      <c r="H31" s="2">
        <f t="shared" si="34"/>
        <v>2.8112692092155398</v>
      </c>
      <c r="I31" s="2">
        <f t="shared" si="35"/>
        <v>0</v>
      </c>
      <c r="J31" s="2">
        <f t="shared" si="36"/>
        <v>1.1168239932131074</v>
      </c>
      <c r="K31" s="2">
        <f t="shared" si="37"/>
        <v>0.67320869614595846</v>
      </c>
      <c r="L31" s="2">
        <f t="shared" si="38"/>
        <v>2.8292035925001988</v>
      </c>
      <c r="M31" s="2">
        <f t="shared" si="39"/>
        <v>0</v>
      </c>
      <c r="N31" s="2">
        <f t="shared" si="53"/>
        <v>2.6999999999999997</v>
      </c>
      <c r="O31" s="2">
        <f t="shared" si="54"/>
        <v>2.6999999999999997</v>
      </c>
      <c r="P31" s="2">
        <f t="shared" si="40"/>
        <v>2.8112692092155398</v>
      </c>
      <c r="Q31" s="2">
        <f t="shared" si="40"/>
        <v>2.8112692092155398</v>
      </c>
      <c r="R31" s="2">
        <f t="shared" si="40"/>
        <v>2.8112692092155398</v>
      </c>
      <c r="S31" s="2">
        <f t="shared" si="40"/>
        <v>2.8112692092155398</v>
      </c>
      <c r="T31" s="2">
        <f t="shared" si="40"/>
        <v>2.8292035925001988</v>
      </c>
      <c r="U31" s="2">
        <f t="shared" si="40"/>
        <v>2.8292035925001988</v>
      </c>
      <c r="V31" s="2">
        <f t="shared" si="40"/>
        <v>2.8292035925001988</v>
      </c>
      <c r="W31" s="17">
        <f t="shared" si="41"/>
        <v>19</v>
      </c>
      <c r="X31" s="17">
        <f t="shared" si="42"/>
        <v>18</v>
      </c>
      <c r="Y31" s="17">
        <f t="shared" si="43"/>
        <v>18</v>
      </c>
      <c r="Z31" s="17">
        <f t="shared" si="44"/>
        <v>18</v>
      </c>
      <c r="AA31" s="17">
        <f t="shared" si="45"/>
        <v>18</v>
      </c>
      <c r="AB31" s="17">
        <f t="shared" si="46"/>
        <v>18</v>
      </c>
      <c r="AC31" s="17">
        <f t="shared" si="47"/>
        <v>18</v>
      </c>
      <c r="AD31" s="17">
        <f t="shared" si="48"/>
        <v>18</v>
      </c>
      <c r="AF31" s="18"/>
      <c r="AG31" s="18"/>
      <c r="AH31" s="18"/>
      <c r="AI31" s="18"/>
      <c r="AJ31" s="18"/>
    </row>
    <row r="32" spans="1:36" x14ac:dyDescent="0.25">
      <c r="A32" s="1">
        <v>304</v>
      </c>
      <c r="B32" s="1">
        <f t="shared" si="49"/>
        <v>0</v>
      </c>
      <c r="C32" s="1">
        <f t="shared" si="50"/>
        <v>0</v>
      </c>
      <c r="D32" s="1">
        <f t="shared" si="51"/>
        <v>0</v>
      </c>
      <c r="E32" s="1">
        <f t="shared" si="52"/>
        <v>0</v>
      </c>
      <c r="F32" s="2">
        <f t="shared" si="32"/>
        <v>0</v>
      </c>
      <c r="G32" s="2">
        <f t="shared" si="33"/>
        <v>0</v>
      </c>
      <c r="H32" s="2">
        <f t="shared" si="34"/>
        <v>0</v>
      </c>
      <c r="I32" s="2">
        <f t="shared" si="35"/>
        <v>0</v>
      </c>
      <c r="J32" s="2">
        <f t="shared" si="36"/>
        <v>0</v>
      </c>
      <c r="K32" s="2">
        <f t="shared" si="37"/>
        <v>0</v>
      </c>
      <c r="L32" s="2">
        <f t="shared" si="38"/>
        <v>0</v>
      </c>
      <c r="M32" s="2">
        <f t="shared" si="39"/>
        <v>0</v>
      </c>
      <c r="N32" s="2">
        <f t="shared" si="53"/>
        <v>2.6999999999999997</v>
      </c>
      <c r="O32" s="2">
        <f t="shared" si="54"/>
        <v>2.6999999999999997</v>
      </c>
      <c r="P32" s="2">
        <f t="shared" si="40"/>
        <v>2.6999999999999997</v>
      </c>
      <c r="Q32" s="2">
        <f t="shared" si="40"/>
        <v>2.6999999999999997</v>
      </c>
      <c r="R32" s="2">
        <f t="shared" si="40"/>
        <v>2.6999999999999997</v>
      </c>
      <c r="S32" s="2">
        <f t="shared" si="40"/>
        <v>2.6999999999999997</v>
      </c>
      <c r="T32" s="2">
        <f t="shared" si="40"/>
        <v>2.6999999999999997</v>
      </c>
      <c r="U32" s="2">
        <f t="shared" si="40"/>
        <v>2.6999999999999997</v>
      </c>
      <c r="V32" s="2">
        <f t="shared" si="40"/>
        <v>2.6999999999999997</v>
      </c>
      <c r="W32" s="17">
        <f t="shared" si="41"/>
        <v>19</v>
      </c>
      <c r="X32" s="17">
        <f t="shared" si="42"/>
        <v>19</v>
      </c>
      <c r="Y32" s="17">
        <f t="shared" si="43"/>
        <v>19</v>
      </c>
      <c r="Z32" s="17">
        <f t="shared" si="44"/>
        <v>19</v>
      </c>
      <c r="AA32" s="17">
        <f t="shared" si="45"/>
        <v>19</v>
      </c>
      <c r="AB32" s="17">
        <f t="shared" si="46"/>
        <v>19</v>
      </c>
      <c r="AC32" s="17">
        <f t="shared" si="47"/>
        <v>19</v>
      </c>
      <c r="AD32" s="17">
        <f t="shared" si="48"/>
        <v>19</v>
      </c>
      <c r="AF32" s="18"/>
      <c r="AG32" s="18"/>
      <c r="AH32" s="18"/>
      <c r="AI32" s="18"/>
      <c r="AJ32" s="18"/>
    </row>
    <row r="33" spans="1:36" x14ac:dyDescent="0.25">
      <c r="A33" s="1" t="s">
        <v>11</v>
      </c>
      <c r="B33" s="1">
        <f t="shared" si="49"/>
        <v>38670.801498127352</v>
      </c>
      <c r="C33" s="1">
        <f t="shared" si="50"/>
        <v>24642.252983293562</v>
      </c>
      <c r="D33" s="1">
        <f t="shared" si="51"/>
        <v>0</v>
      </c>
      <c r="E33" s="1">
        <f t="shared" si="52"/>
        <v>80664.875</v>
      </c>
      <c r="F33" s="2">
        <f t="shared" si="32"/>
        <v>0.79034332178029088</v>
      </c>
      <c r="G33" s="2">
        <f t="shared" si="33"/>
        <v>0.50284329836477992</v>
      </c>
      <c r="H33" s="2">
        <f t="shared" si="34"/>
        <v>0</v>
      </c>
      <c r="I33" s="2">
        <f t="shared" si="35"/>
        <v>1.6564300957203535</v>
      </c>
      <c r="J33" s="2">
        <f t="shared" si="36"/>
        <v>0.79171652638735757</v>
      </c>
      <c r="K33" s="2">
        <f t="shared" si="37"/>
        <v>0.50339671102775996</v>
      </c>
      <c r="L33" s="2">
        <f t="shared" si="38"/>
        <v>0</v>
      </c>
      <c r="M33" s="2">
        <f t="shared" si="39"/>
        <v>1.6625436409100101</v>
      </c>
      <c r="N33" s="2">
        <f t="shared" si="53"/>
        <v>2.6999999999999997</v>
      </c>
      <c r="O33" s="2">
        <f t="shared" si="54"/>
        <v>2.6999999999999997</v>
      </c>
      <c r="P33" s="2">
        <f t="shared" si="40"/>
        <v>2.6999999999999997</v>
      </c>
      <c r="Q33" s="2">
        <f t="shared" si="40"/>
        <v>2.6999999999999997</v>
      </c>
      <c r="R33" s="2">
        <f t="shared" si="40"/>
        <v>2.6999999999999997</v>
      </c>
      <c r="S33" s="2">
        <f t="shared" si="40"/>
        <v>2.6999999999999997</v>
      </c>
      <c r="T33" s="2">
        <f t="shared" si="40"/>
        <v>2.6999999999999997</v>
      </c>
      <c r="U33" s="2">
        <f t="shared" si="40"/>
        <v>2.6999999999999997</v>
      </c>
      <c r="V33" s="2">
        <f t="shared" si="40"/>
        <v>2.6999999999999997</v>
      </c>
      <c r="W33" s="17">
        <f t="shared" si="41"/>
        <v>19</v>
      </c>
      <c r="X33" s="17">
        <f t="shared" si="42"/>
        <v>19</v>
      </c>
      <c r="Y33" s="17">
        <f t="shared" si="43"/>
        <v>19</v>
      </c>
      <c r="Z33" s="17">
        <f t="shared" si="44"/>
        <v>19</v>
      </c>
      <c r="AA33" s="17">
        <f t="shared" si="45"/>
        <v>19</v>
      </c>
      <c r="AB33" s="17">
        <f t="shared" si="46"/>
        <v>19</v>
      </c>
      <c r="AC33" s="17">
        <f t="shared" si="47"/>
        <v>19</v>
      </c>
      <c r="AD33" s="17">
        <f t="shared" si="48"/>
        <v>19</v>
      </c>
      <c r="AF33" s="18"/>
      <c r="AG33" s="18"/>
      <c r="AH33" s="18"/>
      <c r="AI33" s="18"/>
      <c r="AJ33" s="18"/>
    </row>
    <row r="34" spans="1:36" x14ac:dyDescent="0.25">
      <c r="A34" s="1" t="s">
        <v>12</v>
      </c>
      <c r="B34" s="1">
        <f t="shared" si="49"/>
        <v>23908.228956228962</v>
      </c>
      <c r="C34" s="1">
        <f t="shared" si="50"/>
        <v>13149.525925925929</v>
      </c>
      <c r="D34" s="1">
        <f t="shared" si="51"/>
        <v>58683.834710743824</v>
      </c>
      <c r="E34" s="1">
        <f t="shared" si="52"/>
        <v>0</v>
      </c>
      <c r="F34" s="2">
        <f t="shared" si="32"/>
        <v>0.48782510870632945</v>
      </c>
      <c r="G34" s="2">
        <f t="shared" si="33"/>
        <v>0.26798306547103046</v>
      </c>
      <c r="H34" s="2">
        <f t="shared" si="34"/>
        <v>1.2020631444445713</v>
      </c>
      <c r="I34" s="2">
        <f t="shared" si="35"/>
        <v>0</v>
      </c>
      <c r="J34" s="2">
        <f t="shared" si="36"/>
        <v>0.48834583803038178</v>
      </c>
      <c r="K34" s="2">
        <f t="shared" si="37"/>
        <v>0.26813968187581966</v>
      </c>
      <c r="L34" s="2">
        <f t="shared" si="38"/>
        <v>1.2052600127215298</v>
      </c>
      <c r="M34" s="2">
        <f t="shared" si="39"/>
        <v>0</v>
      </c>
      <c r="N34" s="2">
        <f t="shared" si="53"/>
        <v>2.6999999999999997</v>
      </c>
      <c r="O34" s="2">
        <f t="shared" si="54"/>
        <v>2.6999999999999997</v>
      </c>
      <c r="P34" s="2">
        <f t="shared" si="40"/>
        <v>2.6999999999999997</v>
      </c>
      <c r="Q34" s="2">
        <f t="shared" si="40"/>
        <v>2.6999999999999997</v>
      </c>
      <c r="R34" s="2">
        <f t="shared" si="40"/>
        <v>2.6999999999999997</v>
      </c>
      <c r="S34" s="2">
        <f t="shared" si="40"/>
        <v>2.6999999999999997</v>
      </c>
      <c r="T34" s="2">
        <f t="shared" si="40"/>
        <v>2.6999999999999997</v>
      </c>
      <c r="U34" s="2">
        <f t="shared" si="40"/>
        <v>2.6999999999999997</v>
      </c>
      <c r="V34" s="2">
        <f t="shared" si="40"/>
        <v>2.6999999999999997</v>
      </c>
      <c r="W34" s="17">
        <f t="shared" si="41"/>
        <v>19</v>
      </c>
      <c r="X34" s="17">
        <f t="shared" si="42"/>
        <v>19</v>
      </c>
      <c r="Y34" s="17">
        <f t="shared" si="43"/>
        <v>19</v>
      </c>
      <c r="Z34" s="17">
        <f t="shared" si="44"/>
        <v>19</v>
      </c>
      <c r="AA34" s="17">
        <f t="shared" si="45"/>
        <v>19</v>
      </c>
      <c r="AB34" s="17">
        <f t="shared" si="46"/>
        <v>19</v>
      </c>
      <c r="AC34" s="17">
        <f t="shared" si="47"/>
        <v>19</v>
      </c>
      <c r="AD34" s="17">
        <f t="shared" si="48"/>
        <v>19</v>
      </c>
      <c r="AF34" s="18"/>
      <c r="AG34" s="18"/>
      <c r="AH34" s="18"/>
      <c r="AI34" s="18"/>
      <c r="AJ34" s="18"/>
    </row>
    <row r="35" spans="1:36" x14ac:dyDescent="0.25">
      <c r="A35" s="1">
        <v>306</v>
      </c>
      <c r="B35" s="1">
        <f t="shared" si="49"/>
        <v>46695.1566951567</v>
      </c>
      <c r="C35" s="1">
        <f t="shared" si="50"/>
        <v>51703.470031545738</v>
      </c>
      <c r="D35" s="1">
        <f t="shared" si="51"/>
        <v>0</v>
      </c>
      <c r="E35" s="1">
        <f t="shared" si="52"/>
        <v>136583.33333333334</v>
      </c>
      <c r="F35" s="2">
        <f t="shared" si="32"/>
        <v>0.95520165250668854</v>
      </c>
      <c r="G35" s="2">
        <f t="shared" si="33"/>
        <v>1.0582475059540035</v>
      </c>
      <c r="H35" s="2">
        <f t="shared" si="34"/>
        <v>0</v>
      </c>
      <c r="I35" s="2">
        <f t="shared" si="35"/>
        <v>2.8227379543019109</v>
      </c>
      <c r="J35" s="2">
        <f t="shared" si="36"/>
        <v>0.95721259257576352</v>
      </c>
      <c r="K35" s="2">
        <f t="shared" si="37"/>
        <v>1.0607196628806221</v>
      </c>
      <c r="L35" s="2">
        <f t="shared" si="38"/>
        <v>0</v>
      </c>
      <c r="M35" s="2">
        <f t="shared" si="39"/>
        <v>2.8408222809975161</v>
      </c>
      <c r="N35" s="2">
        <f t="shared" si="53"/>
        <v>2.6999999999999997</v>
      </c>
      <c r="O35" s="2">
        <f t="shared" si="54"/>
        <v>2.6999999999999997</v>
      </c>
      <c r="P35" s="2">
        <f t="shared" si="40"/>
        <v>2.6999999999999997</v>
      </c>
      <c r="Q35" s="2">
        <f t="shared" si="40"/>
        <v>2.8227379543019109</v>
      </c>
      <c r="R35" s="2">
        <f t="shared" si="40"/>
        <v>2.8227379543019109</v>
      </c>
      <c r="S35" s="2">
        <f t="shared" si="40"/>
        <v>2.8227379543019109</v>
      </c>
      <c r="T35" s="2">
        <f t="shared" si="40"/>
        <v>2.8227379543019109</v>
      </c>
      <c r="U35" s="2">
        <f t="shared" si="40"/>
        <v>2.8408222809975161</v>
      </c>
      <c r="V35" s="2">
        <f t="shared" si="40"/>
        <v>2.8408222809975161</v>
      </c>
      <c r="W35" s="17">
        <f t="shared" si="41"/>
        <v>19</v>
      </c>
      <c r="X35" s="17">
        <f t="shared" si="42"/>
        <v>19</v>
      </c>
      <c r="Y35" s="17">
        <f t="shared" si="43"/>
        <v>18</v>
      </c>
      <c r="Z35" s="17">
        <f t="shared" si="44"/>
        <v>18</v>
      </c>
      <c r="AA35" s="17">
        <f t="shared" si="45"/>
        <v>18</v>
      </c>
      <c r="AB35" s="17">
        <f t="shared" si="46"/>
        <v>18</v>
      </c>
      <c r="AC35" s="17">
        <f t="shared" si="47"/>
        <v>18</v>
      </c>
      <c r="AD35" s="17">
        <f t="shared" si="48"/>
        <v>18</v>
      </c>
      <c r="AF35" s="18"/>
      <c r="AG35" s="18"/>
      <c r="AH35" s="18"/>
      <c r="AI35" s="18"/>
      <c r="AJ35" s="18"/>
    </row>
    <row r="36" spans="1:36" x14ac:dyDescent="0.25">
      <c r="A36" s="1">
        <v>307</v>
      </c>
      <c r="B36" s="1">
        <f t="shared" si="49"/>
        <v>71195.30266343827</v>
      </c>
      <c r="C36" s="1">
        <f t="shared" si="50"/>
        <v>25792.684210526324</v>
      </c>
      <c r="D36" s="1">
        <f t="shared" si="51"/>
        <v>158084.19354838712</v>
      </c>
      <c r="E36" s="1">
        <f t="shared" si="52"/>
        <v>112227.70992366415</v>
      </c>
      <c r="F36" s="2">
        <f t="shared" si="32"/>
        <v>1.4604066043620183</v>
      </c>
      <c r="G36" s="2">
        <f t="shared" si="33"/>
        <v>0.52638616837540064</v>
      </c>
      <c r="H36" s="2">
        <f t="shared" si="34"/>
        <v>3.2752646565616512</v>
      </c>
      <c r="I36" s="2">
        <f t="shared" si="35"/>
        <v>2.3128828434851227</v>
      </c>
      <c r="J36" s="2">
        <f t="shared" si="36"/>
        <v>1.4651442660363423</v>
      </c>
      <c r="K36" s="2">
        <f t="shared" si="37"/>
        <v>0.52699283422880983</v>
      </c>
      <c r="L36" s="2">
        <f t="shared" si="38"/>
        <v>3.2997897161181151</v>
      </c>
      <c r="M36" s="2">
        <f t="shared" si="39"/>
        <v>2.3249261026050312</v>
      </c>
      <c r="N36" s="2">
        <f t="shared" si="53"/>
        <v>2.6999999999999997</v>
      </c>
      <c r="O36" s="2">
        <f t="shared" si="54"/>
        <v>2.6999999999999997</v>
      </c>
      <c r="P36" s="2">
        <f t="shared" si="40"/>
        <v>3.2752646565616512</v>
      </c>
      <c r="Q36" s="2">
        <f t="shared" si="40"/>
        <v>3.2752646565616512</v>
      </c>
      <c r="R36" s="2">
        <f t="shared" si="40"/>
        <v>3.2752646565616512</v>
      </c>
      <c r="S36" s="2">
        <f t="shared" si="40"/>
        <v>3.2752646565616512</v>
      </c>
      <c r="T36" s="2">
        <f t="shared" si="40"/>
        <v>3.2997897161181151</v>
      </c>
      <c r="U36" s="2">
        <f t="shared" si="40"/>
        <v>3.2997897161181151</v>
      </c>
      <c r="V36" s="2">
        <f t="shared" si="40"/>
        <v>3.2997897161181151</v>
      </c>
      <c r="W36" s="17">
        <f t="shared" si="41"/>
        <v>19</v>
      </c>
      <c r="X36" s="17">
        <f t="shared" si="42"/>
        <v>16</v>
      </c>
      <c r="Y36" s="17">
        <f t="shared" si="43"/>
        <v>16</v>
      </c>
      <c r="Z36" s="17">
        <f t="shared" si="44"/>
        <v>16</v>
      </c>
      <c r="AA36" s="17">
        <f t="shared" si="45"/>
        <v>16</v>
      </c>
      <c r="AB36" s="17">
        <f t="shared" si="46"/>
        <v>16</v>
      </c>
      <c r="AC36" s="17">
        <f t="shared" si="47"/>
        <v>16</v>
      </c>
      <c r="AD36" s="17">
        <f t="shared" si="48"/>
        <v>16</v>
      </c>
      <c r="AF36" s="18"/>
      <c r="AG36" s="18"/>
      <c r="AH36" s="18"/>
      <c r="AI36" s="18"/>
      <c r="AJ36" s="18"/>
    </row>
    <row r="37" spans="1:36" x14ac:dyDescent="0.25">
      <c r="A37" s="1">
        <v>308</v>
      </c>
      <c r="B37" s="1">
        <f t="shared" si="49"/>
        <v>81262.632762836205</v>
      </c>
      <c r="C37" s="1">
        <f t="shared" si="50"/>
        <v>31062.071775700944</v>
      </c>
      <c r="D37" s="1">
        <f t="shared" si="51"/>
        <v>182617.67472527476</v>
      </c>
      <c r="E37" s="1">
        <f>AB10*100000</f>
        <v>131369.23636363639</v>
      </c>
      <c r="F37" s="2">
        <f t="shared" si="32"/>
        <v>1.6688181527379944</v>
      </c>
      <c r="G37" s="2">
        <f t="shared" si="33"/>
        <v>0.63429841435175249</v>
      </c>
      <c r="H37" s="2">
        <f t="shared" si="34"/>
        <v>3.7944518485015961</v>
      </c>
      <c r="I37" s="2">
        <f t="shared" si="35"/>
        <v>2.7133425303084273</v>
      </c>
      <c r="J37" s="2">
        <f t="shared" si="36"/>
        <v>1.6750246871637522</v>
      </c>
      <c r="K37" s="2">
        <f t="shared" si="37"/>
        <v>0.63518077810253004</v>
      </c>
      <c r="L37" s="2">
        <f t="shared" si="38"/>
        <v>3.8276465903568364</v>
      </c>
      <c r="M37" s="2">
        <f t="shared" si="39"/>
        <v>2.7300231225023266</v>
      </c>
      <c r="N37" s="2">
        <f t="shared" si="53"/>
        <v>2.6999999999999997</v>
      </c>
      <c r="O37" s="2">
        <f t="shared" si="54"/>
        <v>2.6999999999999997</v>
      </c>
      <c r="P37" s="2">
        <f t="shared" si="40"/>
        <v>3.7944518485015961</v>
      </c>
      <c r="Q37" s="2">
        <f t="shared" si="40"/>
        <v>3.7944518485015961</v>
      </c>
      <c r="R37" s="2">
        <f t="shared" si="40"/>
        <v>3.7944518485015961</v>
      </c>
      <c r="S37" s="2">
        <f t="shared" si="40"/>
        <v>3.7944518485015961</v>
      </c>
      <c r="T37" s="2">
        <f t="shared" si="40"/>
        <v>3.8276465903568364</v>
      </c>
      <c r="U37" s="2">
        <f t="shared" si="40"/>
        <v>3.8276465903568364</v>
      </c>
      <c r="V37" s="2">
        <f t="shared" si="40"/>
        <v>3.8276465903568364</v>
      </c>
      <c r="W37" s="17">
        <f t="shared" si="41"/>
        <v>19</v>
      </c>
      <c r="X37" s="17">
        <f t="shared" si="42"/>
        <v>14</v>
      </c>
      <c r="Y37" s="17">
        <f t="shared" si="43"/>
        <v>14</v>
      </c>
      <c r="Z37" s="17">
        <f t="shared" si="44"/>
        <v>14</v>
      </c>
      <c r="AA37" s="17">
        <f t="shared" si="45"/>
        <v>14</v>
      </c>
      <c r="AB37" s="17">
        <f t="shared" si="46"/>
        <v>14</v>
      </c>
      <c r="AC37" s="17">
        <f t="shared" si="47"/>
        <v>14</v>
      </c>
      <c r="AD37" s="17">
        <f t="shared" si="48"/>
        <v>14</v>
      </c>
      <c r="AF37" s="18"/>
      <c r="AG37" s="18"/>
      <c r="AH37" s="18"/>
      <c r="AI37" s="18"/>
      <c r="AJ37" s="18"/>
    </row>
    <row r="38" spans="1:36" x14ac:dyDescent="0.25">
      <c r="AF38" s="18"/>
      <c r="AG38" s="18"/>
      <c r="AH38" s="18"/>
      <c r="AI38" s="18"/>
      <c r="AJ38" s="18"/>
    </row>
    <row r="39" spans="1:36" x14ac:dyDescent="0.25">
      <c r="AF39" s="18"/>
      <c r="AG39" s="18"/>
      <c r="AH39" s="18"/>
      <c r="AI39" s="18"/>
      <c r="AJ39" s="18"/>
    </row>
    <row r="40" spans="1:36" x14ac:dyDescent="0.25">
      <c r="AF40" s="18"/>
      <c r="AG40" s="18"/>
      <c r="AH40" s="18"/>
      <c r="AI40" s="18"/>
      <c r="AJ40" s="18"/>
    </row>
    <row r="41" spans="1:36" x14ac:dyDescent="0.25">
      <c r="AF41" s="18"/>
      <c r="AG41" s="18"/>
      <c r="AH41" s="18"/>
      <c r="AI41" s="18"/>
      <c r="AJ41" s="18"/>
    </row>
    <row r="42" spans="1:36" x14ac:dyDescent="0.25">
      <c r="AF42" s="18"/>
      <c r="AG42" s="18"/>
      <c r="AH42" s="18"/>
      <c r="AI42" s="18"/>
      <c r="AJ42" s="18"/>
    </row>
    <row r="43" spans="1:36" x14ac:dyDescent="0.25">
      <c r="AF43" s="18"/>
      <c r="AG43" s="18"/>
      <c r="AH43" s="18"/>
      <c r="AI43" s="18"/>
      <c r="AJ43" s="18"/>
    </row>
    <row r="44" spans="1:36" x14ac:dyDescent="0.25">
      <c r="AF44" s="18"/>
      <c r="AG44" s="18"/>
      <c r="AH44" s="18"/>
      <c r="AI44" s="18"/>
      <c r="AJ44" s="18"/>
    </row>
    <row r="45" spans="1:36" x14ac:dyDescent="0.25">
      <c r="AF45" s="18"/>
      <c r="AG45" s="18"/>
      <c r="AH45" s="18"/>
      <c r="AI45" s="18"/>
      <c r="AJ45" s="18"/>
    </row>
  </sheetData>
  <mergeCells count="7">
    <mergeCell ref="AF26:AJ45"/>
    <mergeCell ref="A13:B13"/>
    <mergeCell ref="F27:I27"/>
    <mergeCell ref="J27:M27"/>
    <mergeCell ref="O27:R27"/>
    <mergeCell ref="S27:V27"/>
    <mergeCell ref="O26:V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vicencio</dc:creator>
  <cp:lastModifiedBy>Pedro Valenzuela</cp:lastModifiedBy>
  <dcterms:created xsi:type="dcterms:W3CDTF">2026-05-21T23:10:21Z</dcterms:created>
  <dcterms:modified xsi:type="dcterms:W3CDTF">2026-05-25T01:28:48Z</dcterms:modified>
</cp:coreProperties>
</file>