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Uandes\11avo_semestre\Proyecto_civil\Entrega_6\"/>
    </mc:Choice>
  </mc:AlternateContent>
  <xr:revisionPtr revIDLastSave="0" documentId="13_ncr:1_{E7DDD847-163E-4226-ADB7-81B9B7F660B5}" xr6:coauthVersionLast="47" xr6:coauthVersionMax="47" xr10:uidLastSave="{00000000-0000-0000-0000-000000000000}"/>
  <bookViews>
    <workbookView xWindow="-108" yWindow="-108" windowWidth="23256" windowHeight="12576" activeTab="1" xr2:uid="{BCF52154-A65B-4872-867F-C9D30D087A67}"/>
  </bookViews>
  <sheets>
    <sheet name="Resultados" sheetId="13" r:id="rId1"/>
    <sheet name="Resumen" sheetId="15" r:id="rId2"/>
    <sheet name="Geometría" sheetId="14" r:id="rId3"/>
    <sheet name="MURO PERIMETRAL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Col" sheetId="16" r:id="rId13"/>
  </sheets>
  <definedNames>
    <definedName name="_xlnm._FilterDatabase" localSheetId="10" hidden="1">'8'!$B$2:$M$139</definedName>
    <definedName name="_xlnm._FilterDatabase" localSheetId="3" hidden="1">'MURO PERIMETRAL'!$B$2:$M$173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0" i="15" l="1"/>
  <c r="C30" i="15"/>
  <c r="D30" i="15"/>
  <c r="G30" i="15"/>
  <c r="E30" i="15" s="1"/>
  <c r="B31" i="15"/>
  <c r="C31" i="15"/>
  <c r="D31" i="15"/>
  <c r="E31" i="15"/>
  <c r="F31" i="15"/>
  <c r="G31" i="15"/>
  <c r="B32" i="15"/>
  <c r="C32" i="15"/>
  <c r="D32" i="15"/>
  <c r="G32" i="15"/>
  <c r="F32" i="15" s="1"/>
  <c r="B33" i="15"/>
  <c r="C33" i="15"/>
  <c r="D33" i="15"/>
  <c r="E33" i="15"/>
  <c r="G33" i="15"/>
  <c r="F33" i="15" s="1"/>
  <c r="B34" i="15"/>
  <c r="C34" i="15"/>
  <c r="D34" i="15"/>
  <c r="G34" i="15"/>
  <c r="E34" i="15" s="1"/>
  <c r="B35" i="15"/>
  <c r="C35" i="15"/>
  <c r="D35" i="15"/>
  <c r="E35" i="15"/>
  <c r="F35" i="15"/>
  <c r="G35" i="15"/>
  <c r="B36" i="15"/>
  <c r="C36" i="15"/>
  <c r="D36" i="15"/>
  <c r="G36" i="15"/>
  <c r="F36" i="15" s="1"/>
  <c r="B37" i="15"/>
  <c r="C37" i="15"/>
  <c r="D37" i="15"/>
  <c r="E37" i="15"/>
  <c r="G37" i="15"/>
  <c r="F37" i="15" s="1"/>
  <c r="G29" i="15"/>
  <c r="F29" i="15" s="1"/>
  <c r="E29" i="15"/>
  <c r="D29" i="15"/>
  <c r="C29" i="15"/>
  <c r="B29" i="15"/>
  <c r="D88" i="13"/>
  <c r="E88" i="13"/>
  <c r="F88" i="13"/>
  <c r="G88" i="13"/>
  <c r="H88" i="13"/>
  <c r="I88" i="13"/>
  <c r="D89" i="13"/>
  <c r="E89" i="13"/>
  <c r="F89" i="13"/>
  <c r="G89" i="13"/>
  <c r="H89" i="13"/>
  <c r="I89" i="13"/>
  <c r="D90" i="13"/>
  <c r="E90" i="13"/>
  <c r="F90" i="13"/>
  <c r="G90" i="13"/>
  <c r="H90" i="13"/>
  <c r="I90" i="13"/>
  <c r="D91" i="13"/>
  <c r="E91" i="13"/>
  <c r="F91" i="13"/>
  <c r="G91" i="13"/>
  <c r="H91" i="13"/>
  <c r="I91" i="13"/>
  <c r="D92" i="13"/>
  <c r="E92" i="13"/>
  <c r="F92" i="13"/>
  <c r="G92" i="13"/>
  <c r="H92" i="13"/>
  <c r="I92" i="13"/>
  <c r="D93" i="13"/>
  <c r="E93" i="13"/>
  <c r="F93" i="13"/>
  <c r="G93" i="13"/>
  <c r="H93" i="13"/>
  <c r="I93" i="13"/>
  <c r="D94" i="13"/>
  <c r="E94" i="13"/>
  <c r="F94" i="13"/>
  <c r="G94" i="13"/>
  <c r="H94" i="13"/>
  <c r="I94" i="13"/>
  <c r="D95" i="13"/>
  <c r="E95" i="13"/>
  <c r="F95" i="13"/>
  <c r="G95" i="13"/>
  <c r="H95" i="13"/>
  <c r="I95" i="13"/>
  <c r="D96" i="13"/>
  <c r="E96" i="13"/>
  <c r="F96" i="13"/>
  <c r="G96" i="13"/>
  <c r="H96" i="13"/>
  <c r="I96" i="13"/>
  <c r="D97" i="13"/>
  <c r="E97" i="13"/>
  <c r="F97" i="13"/>
  <c r="G97" i="13"/>
  <c r="H97" i="13"/>
  <c r="I97" i="13"/>
  <c r="D98" i="13"/>
  <c r="E98" i="13"/>
  <c r="F98" i="13"/>
  <c r="G98" i="13"/>
  <c r="H98" i="13"/>
  <c r="I98" i="13"/>
  <c r="D99" i="13"/>
  <c r="E99" i="13"/>
  <c r="F99" i="13"/>
  <c r="G99" i="13"/>
  <c r="H99" i="13"/>
  <c r="I99" i="13"/>
  <c r="D100" i="13"/>
  <c r="E100" i="13"/>
  <c r="F100" i="13"/>
  <c r="G100" i="13"/>
  <c r="H100" i="13"/>
  <c r="I100" i="13"/>
  <c r="D101" i="13"/>
  <c r="E101" i="13"/>
  <c r="F101" i="13"/>
  <c r="G101" i="13"/>
  <c r="H101" i="13"/>
  <c r="I101" i="13"/>
  <c r="D102" i="13"/>
  <c r="E102" i="13"/>
  <c r="F102" i="13"/>
  <c r="G102" i="13"/>
  <c r="H102" i="13"/>
  <c r="I102" i="13"/>
  <c r="D103" i="13"/>
  <c r="E103" i="13"/>
  <c r="F103" i="13"/>
  <c r="G103" i="13"/>
  <c r="H103" i="13"/>
  <c r="I103" i="13"/>
  <c r="D104" i="13"/>
  <c r="E104" i="13"/>
  <c r="F104" i="13"/>
  <c r="G104" i="13"/>
  <c r="H104" i="13"/>
  <c r="I104" i="13"/>
  <c r="D105" i="13"/>
  <c r="E105" i="13"/>
  <c r="F105" i="13"/>
  <c r="G105" i="13"/>
  <c r="H105" i="13"/>
  <c r="I105" i="13"/>
  <c r="D106" i="13"/>
  <c r="E106" i="13"/>
  <c r="F106" i="13"/>
  <c r="G106" i="13"/>
  <c r="H106" i="13"/>
  <c r="I106" i="13"/>
  <c r="D107" i="13"/>
  <c r="E107" i="13"/>
  <c r="F107" i="13"/>
  <c r="G107" i="13"/>
  <c r="H107" i="13"/>
  <c r="I107" i="13"/>
  <c r="D108" i="13"/>
  <c r="E108" i="13"/>
  <c r="F108" i="13"/>
  <c r="G108" i="13"/>
  <c r="H108" i="13"/>
  <c r="I108" i="13"/>
  <c r="D109" i="13"/>
  <c r="E109" i="13"/>
  <c r="F109" i="13"/>
  <c r="G109" i="13"/>
  <c r="H109" i="13"/>
  <c r="I109" i="13"/>
  <c r="D110" i="13"/>
  <c r="E110" i="13"/>
  <c r="F110" i="13"/>
  <c r="G110" i="13"/>
  <c r="H110" i="13"/>
  <c r="I110" i="13"/>
  <c r="D111" i="13"/>
  <c r="E111" i="13"/>
  <c r="F111" i="13"/>
  <c r="G111" i="13"/>
  <c r="H111" i="13"/>
  <c r="I111" i="13"/>
  <c r="D112" i="13"/>
  <c r="E112" i="13"/>
  <c r="F112" i="13"/>
  <c r="G112" i="13"/>
  <c r="H112" i="13"/>
  <c r="I112" i="13"/>
  <c r="D113" i="13"/>
  <c r="E113" i="13"/>
  <c r="F113" i="13"/>
  <c r="G113" i="13"/>
  <c r="H113" i="13"/>
  <c r="I113" i="13"/>
  <c r="D114" i="13"/>
  <c r="E114" i="13"/>
  <c r="F114" i="13"/>
  <c r="G114" i="13"/>
  <c r="H114" i="13"/>
  <c r="I114" i="13"/>
  <c r="D115" i="13"/>
  <c r="E115" i="13"/>
  <c r="F115" i="13"/>
  <c r="G115" i="13"/>
  <c r="H115" i="13"/>
  <c r="I115" i="13"/>
  <c r="D116" i="13"/>
  <c r="E116" i="13"/>
  <c r="F116" i="13"/>
  <c r="G116" i="13"/>
  <c r="H116" i="13"/>
  <c r="I116" i="13"/>
  <c r="D117" i="13"/>
  <c r="E117" i="13"/>
  <c r="F117" i="13"/>
  <c r="G117" i="13"/>
  <c r="H117" i="13"/>
  <c r="I117" i="13"/>
  <c r="D118" i="13"/>
  <c r="E118" i="13"/>
  <c r="F118" i="13"/>
  <c r="G118" i="13"/>
  <c r="H118" i="13"/>
  <c r="I118" i="13"/>
  <c r="D119" i="13"/>
  <c r="E119" i="13"/>
  <c r="F119" i="13"/>
  <c r="G119" i="13"/>
  <c r="H119" i="13"/>
  <c r="I119" i="13"/>
  <c r="D120" i="13"/>
  <c r="E120" i="13"/>
  <c r="F120" i="13"/>
  <c r="G120" i="13"/>
  <c r="H120" i="13"/>
  <c r="I120" i="13"/>
  <c r="D121" i="13"/>
  <c r="E121" i="13"/>
  <c r="F121" i="13"/>
  <c r="G121" i="13"/>
  <c r="H121" i="13"/>
  <c r="I121" i="13"/>
  <c r="D122" i="13"/>
  <c r="E122" i="13"/>
  <c r="F122" i="13"/>
  <c r="G122" i="13"/>
  <c r="H122" i="13"/>
  <c r="I122" i="13"/>
  <c r="D123" i="13"/>
  <c r="E123" i="13"/>
  <c r="F123" i="13"/>
  <c r="G123" i="13"/>
  <c r="H123" i="13"/>
  <c r="I123" i="13"/>
  <c r="U5" i="16"/>
  <c r="V5" i="16"/>
  <c r="W5" i="16"/>
  <c r="X5" i="16"/>
  <c r="Y5" i="16"/>
  <c r="Z5" i="16"/>
  <c r="U6" i="16"/>
  <c r="V6" i="16"/>
  <c r="W6" i="16"/>
  <c r="X6" i="16"/>
  <c r="Y6" i="16"/>
  <c r="Z6" i="16"/>
  <c r="U7" i="16"/>
  <c r="V7" i="16"/>
  <c r="W7" i="16"/>
  <c r="X7" i="16"/>
  <c r="Y7" i="16"/>
  <c r="Z7" i="16"/>
  <c r="U8" i="16"/>
  <c r="V8" i="16"/>
  <c r="W8" i="16"/>
  <c r="X8" i="16"/>
  <c r="Y8" i="16"/>
  <c r="Z8" i="16"/>
  <c r="U9" i="16"/>
  <c r="V9" i="16"/>
  <c r="W9" i="16"/>
  <c r="X9" i="16"/>
  <c r="Y9" i="16"/>
  <c r="Z9" i="16"/>
  <c r="U10" i="16"/>
  <c r="V10" i="16"/>
  <c r="W10" i="16"/>
  <c r="X10" i="16"/>
  <c r="Y10" i="16"/>
  <c r="Z10" i="16"/>
  <c r="U11" i="16"/>
  <c r="V11" i="16"/>
  <c r="W11" i="16"/>
  <c r="X11" i="16"/>
  <c r="Y11" i="16"/>
  <c r="Z11" i="16"/>
  <c r="U12" i="16"/>
  <c r="V12" i="16"/>
  <c r="W12" i="16"/>
  <c r="X12" i="16"/>
  <c r="Y12" i="16"/>
  <c r="Z12" i="16"/>
  <c r="U13" i="16"/>
  <c r="V13" i="16"/>
  <c r="W13" i="16"/>
  <c r="X13" i="16"/>
  <c r="Y13" i="16"/>
  <c r="Z13" i="16"/>
  <c r="U14" i="16"/>
  <c r="V14" i="16"/>
  <c r="W14" i="16"/>
  <c r="X14" i="16"/>
  <c r="Y14" i="16"/>
  <c r="Z14" i="16"/>
  <c r="U15" i="16"/>
  <c r="V15" i="16"/>
  <c r="W15" i="16"/>
  <c r="X15" i="16"/>
  <c r="Y15" i="16"/>
  <c r="Z15" i="16"/>
  <c r="U16" i="16"/>
  <c r="V16" i="16"/>
  <c r="W16" i="16"/>
  <c r="X16" i="16"/>
  <c r="Y16" i="16"/>
  <c r="Z16" i="16"/>
  <c r="U17" i="16"/>
  <c r="V17" i="16"/>
  <c r="W17" i="16"/>
  <c r="X17" i="16"/>
  <c r="Y17" i="16"/>
  <c r="Z17" i="16"/>
  <c r="U18" i="16"/>
  <c r="V18" i="16"/>
  <c r="W18" i="16"/>
  <c r="X18" i="16"/>
  <c r="Y18" i="16"/>
  <c r="Z18" i="16"/>
  <c r="U19" i="16"/>
  <c r="V19" i="16"/>
  <c r="W19" i="16"/>
  <c r="X19" i="16"/>
  <c r="Y19" i="16"/>
  <c r="Z19" i="16"/>
  <c r="U20" i="16"/>
  <c r="V20" i="16"/>
  <c r="W20" i="16"/>
  <c r="X20" i="16"/>
  <c r="Y20" i="16"/>
  <c r="Z20" i="16"/>
  <c r="U21" i="16"/>
  <c r="V21" i="16"/>
  <c r="W21" i="16"/>
  <c r="X21" i="16"/>
  <c r="Y21" i="16"/>
  <c r="Z21" i="16"/>
  <c r="U22" i="16"/>
  <c r="V22" i="16"/>
  <c r="W22" i="16"/>
  <c r="X22" i="16"/>
  <c r="Y22" i="16"/>
  <c r="Z22" i="16"/>
  <c r="U23" i="16"/>
  <c r="V23" i="16"/>
  <c r="W23" i="16"/>
  <c r="X23" i="16"/>
  <c r="Y23" i="16"/>
  <c r="Z23" i="16"/>
  <c r="U24" i="16"/>
  <c r="V24" i="16"/>
  <c r="W24" i="16"/>
  <c r="X24" i="16"/>
  <c r="Y24" i="16"/>
  <c r="Z24" i="16"/>
  <c r="U25" i="16"/>
  <c r="V25" i="16"/>
  <c r="W25" i="16"/>
  <c r="X25" i="16"/>
  <c r="Y25" i="16"/>
  <c r="Z25" i="16"/>
  <c r="U26" i="16"/>
  <c r="V26" i="16"/>
  <c r="W26" i="16"/>
  <c r="X26" i="16"/>
  <c r="Y26" i="16"/>
  <c r="Z26" i="16"/>
  <c r="U27" i="16"/>
  <c r="V27" i="16"/>
  <c r="W27" i="16"/>
  <c r="X27" i="16"/>
  <c r="Y27" i="16"/>
  <c r="Z27" i="16"/>
  <c r="U28" i="16"/>
  <c r="V28" i="16"/>
  <c r="W28" i="16"/>
  <c r="X28" i="16"/>
  <c r="Y28" i="16"/>
  <c r="Z28" i="16"/>
  <c r="U29" i="16"/>
  <c r="V29" i="16"/>
  <c r="W29" i="16"/>
  <c r="X29" i="16"/>
  <c r="Y29" i="16"/>
  <c r="Z29" i="16"/>
  <c r="U30" i="16"/>
  <c r="V30" i="16"/>
  <c r="W30" i="16"/>
  <c r="X30" i="16"/>
  <c r="Y30" i="16"/>
  <c r="Z30" i="16"/>
  <c r="U31" i="16"/>
  <c r="V31" i="16"/>
  <c r="W31" i="16"/>
  <c r="X31" i="16"/>
  <c r="Y31" i="16"/>
  <c r="Z31" i="16"/>
  <c r="U32" i="16"/>
  <c r="V32" i="16"/>
  <c r="W32" i="16"/>
  <c r="X32" i="16"/>
  <c r="Y32" i="16"/>
  <c r="Z32" i="16"/>
  <c r="U33" i="16"/>
  <c r="V33" i="16"/>
  <c r="W33" i="16"/>
  <c r="X33" i="16"/>
  <c r="Y33" i="16"/>
  <c r="Z33" i="16"/>
  <c r="U34" i="16"/>
  <c r="V34" i="16"/>
  <c r="W34" i="16"/>
  <c r="X34" i="16"/>
  <c r="Y34" i="16"/>
  <c r="Z34" i="16"/>
  <c r="U35" i="16"/>
  <c r="V35" i="16"/>
  <c r="W35" i="16"/>
  <c r="X35" i="16"/>
  <c r="Y35" i="16"/>
  <c r="Z35" i="16"/>
  <c r="U36" i="16"/>
  <c r="V36" i="16"/>
  <c r="W36" i="16"/>
  <c r="X36" i="16"/>
  <c r="Y36" i="16"/>
  <c r="Z36" i="16"/>
  <c r="U37" i="16"/>
  <c r="V37" i="16"/>
  <c r="W37" i="16"/>
  <c r="X37" i="16"/>
  <c r="Y37" i="16"/>
  <c r="Z37" i="16"/>
  <c r="U38" i="16"/>
  <c r="V38" i="16"/>
  <c r="W38" i="16"/>
  <c r="X38" i="16"/>
  <c r="Y38" i="16"/>
  <c r="Z38" i="16"/>
  <c r="U39" i="16"/>
  <c r="V39" i="16"/>
  <c r="W39" i="16"/>
  <c r="X39" i="16"/>
  <c r="Y39" i="16"/>
  <c r="Z39" i="16"/>
  <c r="U40" i="16"/>
  <c r="V40" i="16"/>
  <c r="W40" i="16"/>
  <c r="X40" i="16"/>
  <c r="Y40" i="16"/>
  <c r="Z40" i="16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4" i="15"/>
  <c r="AC4" i="14"/>
  <c r="AD4" i="14"/>
  <c r="AC5" i="14"/>
  <c r="AD5" i="14"/>
  <c r="AC6" i="14"/>
  <c r="AD6" i="14"/>
  <c r="AC7" i="14"/>
  <c r="AD7" i="14"/>
  <c r="AC8" i="14"/>
  <c r="AD8" i="14"/>
  <c r="AC9" i="14"/>
  <c r="AD9" i="14"/>
  <c r="AC10" i="14"/>
  <c r="AD10" i="14"/>
  <c r="AC11" i="14"/>
  <c r="AD11" i="14"/>
  <c r="AC12" i="14"/>
  <c r="AD12" i="14"/>
  <c r="AC13" i="14"/>
  <c r="AD13" i="14"/>
  <c r="AC14" i="14"/>
  <c r="AD14" i="14"/>
  <c r="AC15" i="14"/>
  <c r="AD15" i="14"/>
  <c r="AC16" i="14"/>
  <c r="AD16" i="14"/>
  <c r="AC17" i="14"/>
  <c r="AD17" i="14"/>
  <c r="AC18" i="14"/>
  <c r="AD18" i="14"/>
  <c r="AC19" i="14"/>
  <c r="AD19" i="14"/>
  <c r="AC20" i="14"/>
  <c r="AD20" i="14"/>
  <c r="AC21" i="14"/>
  <c r="AD21" i="14"/>
  <c r="AC22" i="14"/>
  <c r="AD22" i="14"/>
  <c r="AC23" i="14"/>
  <c r="AD23" i="14"/>
  <c r="AC24" i="14"/>
  <c r="AD24" i="14"/>
  <c r="AC25" i="14"/>
  <c r="AD25" i="14"/>
  <c r="AC26" i="14"/>
  <c r="AD26" i="14"/>
  <c r="AC27" i="14"/>
  <c r="AD27" i="14"/>
  <c r="AC28" i="14"/>
  <c r="AD28" i="14"/>
  <c r="AC29" i="14"/>
  <c r="AD29" i="14"/>
  <c r="AC30" i="14"/>
  <c r="AD30" i="14"/>
  <c r="AC31" i="14"/>
  <c r="AD31" i="14"/>
  <c r="AC32" i="14"/>
  <c r="AD32" i="14"/>
  <c r="AC33" i="14"/>
  <c r="AD33" i="14"/>
  <c r="AC34" i="14"/>
  <c r="AD34" i="14"/>
  <c r="AC35" i="14"/>
  <c r="AD35" i="14"/>
  <c r="AC36" i="14"/>
  <c r="AD36" i="14"/>
  <c r="AC37" i="14"/>
  <c r="AD37" i="14"/>
  <c r="AC38" i="14"/>
  <c r="AD38" i="14"/>
  <c r="AC39" i="14"/>
  <c r="AD39" i="14"/>
  <c r="AC40" i="14"/>
  <c r="AD40" i="14"/>
  <c r="AC41" i="14"/>
  <c r="AD41" i="14"/>
  <c r="AC42" i="14"/>
  <c r="AD42" i="14"/>
  <c r="AC43" i="14"/>
  <c r="AD43" i="14"/>
  <c r="AC44" i="14"/>
  <c r="AD44" i="14"/>
  <c r="AC45" i="14"/>
  <c r="AD45" i="14"/>
  <c r="AC46" i="14"/>
  <c r="AD46" i="14"/>
  <c r="AC47" i="14"/>
  <c r="AD47" i="14"/>
  <c r="AC48" i="14"/>
  <c r="AD48" i="14"/>
  <c r="AC49" i="14"/>
  <c r="AD49" i="14"/>
  <c r="AC50" i="14"/>
  <c r="AD50" i="14"/>
  <c r="AC51" i="14"/>
  <c r="AD51" i="14"/>
  <c r="AC52" i="14"/>
  <c r="AD52" i="14"/>
  <c r="AC53" i="14"/>
  <c r="AD53" i="14"/>
  <c r="AC54" i="14"/>
  <c r="AD54" i="14"/>
  <c r="AC55" i="14"/>
  <c r="AD55" i="14"/>
  <c r="AC56" i="14"/>
  <c r="AD56" i="14"/>
  <c r="AC57" i="14"/>
  <c r="AD57" i="14"/>
  <c r="AC58" i="14"/>
  <c r="AD58" i="14"/>
  <c r="AC59" i="14"/>
  <c r="AD59" i="14"/>
  <c r="AC60" i="14"/>
  <c r="AD60" i="14"/>
  <c r="AC61" i="14"/>
  <c r="AD61" i="14"/>
  <c r="AC62" i="14"/>
  <c r="AD62" i="14"/>
  <c r="AC63" i="14"/>
  <c r="AD63" i="14"/>
  <c r="AC64" i="14"/>
  <c r="AD64" i="14"/>
  <c r="AC65" i="14"/>
  <c r="AD65" i="14"/>
  <c r="AC66" i="14"/>
  <c r="AD66" i="14"/>
  <c r="AC67" i="14"/>
  <c r="AD67" i="14"/>
  <c r="AC68" i="14"/>
  <c r="AD68" i="14"/>
  <c r="AC69" i="14"/>
  <c r="AD69" i="14"/>
  <c r="AC70" i="14"/>
  <c r="AD70" i="14"/>
  <c r="AD3" i="14"/>
  <c r="AC3" i="14"/>
  <c r="B5" i="15"/>
  <c r="C5" i="15"/>
  <c r="D5" i="15" a="1"/>
  <c r="D5" i="15" s="1"/>
  <c r="E5" i="15" a="1"/>
  <c r="E5" i="15" s="1"/>
  <c r="F5" i="15"/>
  <c r="G5" i="15"/>
  <c r="I5" i="15"/>
  <c r="B6" i="15"/>
  <c r="C6" i="15"/>
  <c r="D6" i="15" a="1"/>
  <c r="D6" i="15" s="1"/>
  <c r="E6" i="15" a="1"/>
  <c r="E6" i="15"/>
  <c r="F6" i="15"/>
  <c r="G6" i="15"/>
  <c r="I6" i="15"/>
  <c r="B7" i="15"/>
  <c r="C7" i="15"/>
  <c r="D7" i="15" a="1"/>
  <c r="D7" i="15"/>
  <c r="E7" i="15" a="1"/>
  <c r="E7" i="15" s="1"/>
  <c r="F7" i="15"/>
  <c r="G7" i="15"/>
  <c r="I7" i="15"/>
  <c r="B8" i="15"/>
  <c r="C8" i="15"/>
  <c r="D8" i="15" a="1"/>
  <c r="D8" i="15" s="1"/>
  <c r="E8" i="15" a="1"/>
  <c r="E8" i="15" s="1"/>
  <c r="F8" i="15"/>
  <c r="G8" i="15"/>
  <c r="I8" i="15"/>
  <c r="B9" i="15"/>
  <c r="C9" i="15"/>
  <c r="D9" i="15" a="1"/>
  <c r="D9" i="15" s="1"/>
  <c r="E9" i="15" a="1"/>
  <c r="E9" i="15" s="1"/>
  <c r="F9" i="15"/>
  <c r="G9" i="15"/>
  <c r="I9" i="15"/>
  <c r="B10" i="15"/>
  <c r="C10" i="15"/>
  <c r="D10" i="15" a="1"/>
  <c r="D10" i="15" s="1"/>
  <c r="E10" i="15" a="1"/>
  <c r="E10" i="15"/>
  <c r="F10" i="15"/>
  <c r="G10" i="15"/>
  <c r="I10" i="15"/>
  <c r="B11" i="15"/>
  <c r="C11" i="15"/>
  <c r="D11" i="15" a="1"/>
  <c r="D11" i="15"/>
  <c r="E11" i="15" a="1"/>
  <c r="E11" i="15" s="1"/>
  <c r="F11" i="15"/>
  <c r="G11" i="15"/>
  <c r="I11" i="15"/>
  <c r="B12" i="15"/>
  <c r="C12" i="15"/>
  <c r="D12" i="15" a="1"/>
  <c r="D12" i="15" s="1"/>
  <c r="E12" i="15" a="1"/>
  <c r="E12" i="15" s="1"/>
  <c r="F12" i="15"/>
  <c r="G12" i="15"/>
  <c r="I12" i="15"/>
  <c r="B13" i="15"/>
  <c r="C13" i="15"/>
  <c r="D13" i="15" a="1"/>
  <c r="D13" i="15" s="1"/>
  <c r="E13" i="15" a="1"/>
  <c r="E13" i="15" s="1"/>
  <c r="F13" i="15"/>
  <c r="G13" i="15"/>
  <c r="I13" i="15"/>
  <c r="B14" i="15"/>
  <c r="C14" i="15"/>
  <c r="D14" i="15" a="1"/>
  <c r="D14" i="15" s="1"/>
  <c r="E14" i="15" a="1"/>
  <c r="E14" i="15"/>
  <c r="F14" i="15"/>
  <c r="G14" i="15"/>
  <c r="I14" i="15"/>
  <c r="B15" i="15"/>
  <c r="C15" i="15"/>
  <c r="D15" i="15" a="1"/>
  <c r="D15" i="15"/>
  <c r="E15" i="15" a="1"/>
  <c r="E15" i="15" s="1"/>
  <c r="F15" i="15"/>
  <c r="G15" i="15"/>
  <c r="I15" i="15"/>
  <c r="B16" i="15"/>
  <c r="C16" i="15"/>
  <c r="D16" i="15" a="1"/>
  <c r="D16" i="15" s="1"/>
  <c r="E16" i="15" a="1"/>
  <c r="E16" i="15" s="1"/>
  <c r="F16" i="15"/>
  <c r="G16" i="15"/>
  <c r="I16" i="15"/>
  <c r="B17" i="15"/>
  <c r="C17" i="15"/>
  <c r="D17" i="15" a="1"/>
  <c r="D17" i="15" s="1"/>
  <c r="E17" i="15" a="1"/>
  <c r="E17" i="15" s="1"/>
  <c r="F17" i="15"/>
  <c r="G17" i="15"/>
  <c r="I17" i="15"/>
  <c r="B18" i="15"/>
  <c r="C18" i="15"/>
  <c r="D18" i="15" a="1"/>
  <c r="D18" i="15" s="1"/>
  <c r="E18" i="15" a="1"/>
  <c r="E18" i="15"/>
  <c r="F18" i="15"/>
  <c r="G18" i="15"/>
  <c r="I18" i="15"/>
  <c r="B19" i="15"/>
  <c r="C19" i="15"/>
  <c r="D19" i="15" a="1"/>
  <c r="D19" i="15"/>
  <c r="E19" i="15" a="1"/>
  <c r="E19" i="15" s="1"/>
  <c r="F19" i="15"/>
  <c r="G19" i="15"/>
  <c r="I19" i="15"/>
  <c r="B20" i="15"/>
  <c r="C20" i="15"/>
  <c r="D20" i="15" a="1"/>
  <c r="D20" i="15" s="1"/>
  <c r="E20" i="15" a="1"/>
  <c r="E20" i="15" s="1"/>
  <c r="F20" i="15"/>
  <c r="G20" i="15"/>
  <c r="I20" i="15"/>
  <c r="B21" i="15"/>
  <c r="C21" i="15"/>
  <c r="D21" i="15" a="1"/>
  <c r="D21" i="15" s="1"/>
  <c r="E21" i="15" a="1"/>
  <c r="E21" i="15" s="1"/>
  <c r="F21" i="15"/>
  <c r="G21" i="15"/>
  <c r="I21" i="15"/>
  <c r="B22" i="15"/>
  <c r="C22" i="15"/>
  <c r="D22" i="15" a="1"/>
  <c r="D22" i="15" s="1"/>
  <c r="E22" i="15" a="1"/>
  <c r="E22" i="15"/>
  <c r="F22" i="15"/>
  <c r="G22" i="15"/>
  <c r="I22" i="15"/>
  <c r="B23" i="15"/>
  <c r="C23" i="15"/>
  <c r="D23" i="15" a="1"/>
  <c r="D23" i="15"/>
  <c r="E23" i="15" a="1"/>
  <c r="E23" i="15" s="1"/>
  <c r="F23" i="15"/>
  <c r="G23" i="15"/>
  <c r="I23" i="15"/>
  <c r="B24" i="15"/>
  <c r="C24" i="15"/>
  <c r="D24" i="15" a="1"/>
  <c r="D24" i="15" s="1"/>
  <c r="E24" i="15" a="1"/>
  <c r="E24" i="15" s="1"/>
  <c r="F24" i="15"/>
  <c r="G24" i="15"/>
  <c r="I24" i="15"/>
  <c r="I4" i="15"/>
  <c r="G4" i="15"/>
  <c r="F4" i="15"/>
  <c r="E4" i="15" a="1"/>
  <c r="E4" i="15" s="1"/>
  <c r="D4" i="15" a="1"/>
  <c r="D4" i="15" s="1"/>
  <c r="C4" i="15"/>
  <c r="B4" i="15"/>
  <c r="V4" i="14"/>
  <c r="W4" i="14"/>
  <c r="X4" i="14"/>
  <c r="Y4" i="14"/>
  <c r="Z4" i="14"/>
  <c r="AA4" i="14"/>
  <c r="AB4" i="14"/>
  <c r="V5" i="14"/>
  <c r="W5" i="14"/>
  <c r="X5" i="14"/>
  <c r="Y5" i="14"/>
  <c r="Z5" i="14"/>
  <c r="AA5" i="14"/>
  <c r="AB5" i="14"/>
  <c r="V6" i="14"/>
  <c r="W6" i="14"/>
  <c r="X6" i="14"/>
  <c r="Y6" i="14"/>
  <c r="Z6" i="14" s="1"/>
  <c r="AA6" i="14"/>
  <c r="AB6" i="14"/>
  <c r="V7" i="14"/>
  <c r="W7" i="14"/>
  <c r="X7" i="14"/>
  <c r="Y7" i="14"/>
  <c r="Z7" i="14"/>
  <c r="AA7" i="14"/>
  <c r="AB7" i="14"/>
  <c r="V8" i="14"/>
  <c r="W8" i="14"/>
  <c r="X8" i="14"/>
  <c r="Y8" i="14"/>
  <c r="Z8" i="14"/>
  <c r="AA8" i="14"/>
  <c r="AB8" i="14"/>
  <c r="V9" i="14"/>
  <c r="W9" i="14"/>
  <c r="X9" i="14"/>
  <c r="Y9" i="14"/>
  <c r="Z9" i="14"/>
  <c r="AA9" i="14"/>
  <c r="AB9" i="14"/>
  <c r="V10" i="14"/>
  <c r="W10" i="14"/>
  <c r="X10" i="14"/>
  <c r="Y10" i="14"/>
  <c r="Z10" i="14"/>
  <c r="AA10" i="14"/>
  <c r="AB10" i="14"/>
  <c r="V11" i="14"/>
  <c r="W11" i="14"/>
  <c r="X11" i="14"/>
  <c r="Y11" i="14"/>
  <c r="Z11" i="14"/>
  <c r="AA11" i="14"/>
  <c r="AB11" i="14"/>
  <c r="V12" i="14"/>
  <c r="W12" i="14"/>
  <c r="X12" i="14"/>
  <c r="Z12" i="14" s="1"/>
  <c r="Y12" i="14"/>
  <c r="AA12" i="14"/>
  <c r="AB12" i="14"/>
  <c r="V13" i="14"/>
  <c r="W13" i="14"/>
  <c r="X13" i="14"/>
  <c r="Y13" i="14"/>
  <c r="Z13" i="14"/>
  <c r="AA13" i="14"/>
  <c r="AB13" i="14"/>
  <c r="V14" i="14"/>
  <c r="W14" i="14"/>
  <c r="X14" i="14"/>
  <c r="Y14" i="14"/>
  <c r="Z14" i="14"/>
  <c r="AA14" i="14"/>
  <c r="AB14" i="14"/>
  <c r="V15" i="14"/>
  <c r="W15" i="14"/>
  <c r="X15" i="14"/>
  <c r="Y15" i="14"/>
  <c r="Z15" i="14"/>
  <c r="AA15" i="14"/>
  <c r="AB15" i="14"/>
  <c r="V16" i="14"/>
  <c r="W16" i="14"/>
  <c r="X16" i="14"/>
  <c r="Y16" i="14"/>
  <c r="Z16" i="14"/>
  <c r="AA16" i="14"/>
  <c r="AB16" i="14"/>
  <c r="V17" i="14"/>
  <c r="W17" i="14"/>
  <c r="X17" i="14"/>
  <c r="Y17" i="14"/>
  <c r="Z17" i="14"/>
  <c r="AA17" i="14"/>
  <c r="AB17" i="14"/>
  <c r="V18" i="14"/>
  <c r="W18" i="14"/>
  <c r="X18" i="14"/>
  <c r="Z18" i="14" s="1"/>
  <c r="Y18" i="14"/>
  <c r="AA18" i="14"/>
  <c r="AB18" i="14"/>
  <c r="V19" i="14"/>
  <c r="W19" i="14"/>
  <c r="X19" i="14"/>
  <c r="Y19" i="14"/>
  <c r="Z19" i="14"/>
  <c r="AA19" i="14"/>
  <c r="AB19" i="14"/>
  <c r="V20" i="14"/>
  <c r="W20" i="14"/>
  <c r="X20" i="14"/>
  <c r="Y20" i="14"/>
  <c r="Z20" i="14"/>
  <c r="AA20" i="14"/>
  <c r="AB20" i="14"/>
  <c r="V21" i="14"/>
  <c r="W21" i="14"/>
  <c r="X21" i="14"/>
  <c r="Z21" i="14" s="1"/>
  <c r="Y21" i="14"/>
  <c r="AA21" i="14"/>
  <c r="AB21" i="14"/>
  <c r="V22" i="14"/>
  <c r="W22" i="14"/>
  <c r="X22" i="14"/>
  <c r="Y22" i="14"/>
  <c r="Z22" i="14"/>
  <c r="AA22" i="14"/>
  <c r="AB22" i="14"/>
  <c r="V23" i="14"/>
  <c r="W23" i="14"/>
  <c r="X23" i="14"/>
  <c r="Y23" i="14"/>
  <c r="Z23" i="14"/>
  <c r="AA23" i="14"/>
  <c r="AB23" i="14"/>
  <c r="V24" i="14"/>
  <c r="Z24" i="14" s="1"/>
  <c r="W24" i="14"/>
  <c r="X24" i="14"/>
  <c r="Y24" i="14"/>
  <c r="AA24" i="14"/>
  <c r="AB24" i="14"/>
  <c r="V25" i="14"/>
  <c r="W25" i="14"/>
  <c r="X25" i="14"/>
  <c r="Y25" i="14"/>
  <c r="Z25" i="14"/>
  <c r="AA25" i="14"/>
  <c r="AB25" i="14"/>
  <c r="V26" i="14"/>
  <c r="W26" i="14"/>
  <c r="X26" i="14"/>
  <c r="Z26" i="14" s="1"/>
  <c r="Y26" i="14"/>
  <c r="AA26" i="14"/>
  <c r="AB26" i="14"/>
  <c r="V27" i="14"/>
  <c r="W27" i="14"/>
  <c r="X27" i="14"/>
  <c r="Y27" i="14"/>
  <c r="Z27" i="14"/>
  <c r="AA27" i="14"/>
  <c r="AB27" i="14"/>
  <c r="V28" i="14"/>
  <c r="W28" i="14"/>
  <c r="X28" i="14"/>
  <c r="Y28" i="14"/>
  <c r="Z28" i="14"/>
  <c r="AA28" i="14"/>
  <c r="AB28" i="14"/>
  <c r="V29" i="14"/>
  <c r="W29" i="14"/>
  <c r="X29" i="14"/>
  <c r="Z29" i="14" s="1"/>
  <c r="Y29" i="14"/>
  <c r="AA29" i="14"/>
  <c r="AB29" i="14"/>
  <c r="V30" i="14"/>
  <c r="W30" i="14"/>
  <c r="X30" i="14"/>
  <c r="Y30" i="14"/>
  <c r="Z30" i="14"/>
  <c r="AA30" i="14"/>
  <c r="AB30" i="14"/>
  <c r="V31" i="14"/>
  <c r="W31" i="14"/>
  <c r="X31" i="14"/>
  <c r="Y31" i="14"/>
  <c r="Z31" i="14"/>
  <c r="AA31" i="14"/>
  <c r="AB31" i="14"/>
  <c r="V32" i="14"/>
  <c r="W32" i="14"/>
  <c r="X32" i="14"/>
  <c r="Y32" i="14"/>
  <c r="Z32" i="14" s="1"/>
  <c r="AA32" i="14"/>
  <c r="AB32" i="14"/>
  <c r="V33" i="14"/>
  <c r="W33" i="14"/>
  <c r="X33" i="14"/>
  <c r="Y33" i="14"/>
  <c r="Z33" i="14"/>
  <c r="AA33" i="14"/>
  <c r="AB33" i="14"/>
  <c r="V34" i="14"/>
  <c r="W34" i="14"/>
  <c r="X34" i="14"/>
  <c r="Y34" i="14"/>
  <c r="Z34" i="14"/>
  <c r="AA34" i="14"/>
  <c r="AB34" i="14"/>
  <c r="V35" i="14"/>
  <c r="W35" i="14"/>
  <c r="X35" i="14"/>
  <c r="Y35" i="14"/>
  <c r="Z35" i="14"/>
  <c r="AA35" i="14"/>
  <c r="AB35" i="14"/>
  <c r="V36" i="14"/>
  <c r="W36" i="14"/>
  <c r="X36" i="14"/>
  <c r="Z36" i="14" s="1"/>
  <c r="Y36" i="14"/>
  <c r="AA36" i="14"/>
  <c r="AB36" i="14"/>
  <c r="V37" i="14"/>
  <c r="W37" i="14"/>
  <c r="X37" i="14"/>
  <c r="Y37" i="14"/>
  <c r="Z37" i="14"/>
  <c r="AA37" i="14"/>
  <c r="AB37" i="14"/>
  <c r="V38" i="14"/>
  <c r="W38" i="14"/>
  <c r="X38" i="14"/>
  <c r="Y38" i="14"/>
  <c r="Z38" i="14"/>
  <c r="AA38" i="14"/>
  <c r="AB38" i="14"/>
  <c r="V39" i="14"/>
  <c r="W39" i="14"/>
  <c r="X39" i="14"/>
  <c r="Y39" i="14"/>
  <c r="Z39" i="14"/>
  <c r="AA39" i="14"/>
  <c r="AB39" i="14"/>
  <c r="V40" i="14"/>
  <c r="W40" i="14"/>
  <c r="X40" i="14"/>
  <c r="Y40" i="14"/>
  <c r="Z40" i="14"/>
  <c r="AA40" i="14"/>
  <c r="AB40" i="14"/>
  <c r="V41" i="14"/>
  <c r="W41" i="14"/>
  <c r="X41" i="14"/>
  <c r="Y41" i="14"/>
  <c r="Z41" i="14"/>
  <c r="AA41" i="14"/>
  <c r="AB41" i="14"/>
  <c r="V42" i="14"/>
  <c r="W42" i="14"/>
  <c r="X42" i="14"/>
  <c r="Z42" i="14" s="1"/>
  <c r="Y42" i="14"/>
  <c r="AA42" i="14"/>
  <c r="AB42" i="14"/>
  <c r="V43" i="14"/>
  <c r="W43" i="14"/>
  <c r="X43" i="14"/>
  <c r="Y43" i="14"/>
  <c r="Z43" i="14"/>
  <c r="AA43" i="14"/>
  <c r="AB43" i="14"/>
  <c r="V44" i="14"/>
  <c r="W44" i="14"/>
  <c r="X44" i="14"/>
  <c r="Y44" i="14"/>
  <c r="Z44" i="14"/>
  <c r="AA44" i="14"/>
  <c r="AB44" i="14"/>
  <c r="V45" i="14"/>
  <c r="W45" i="14"/>
  <c r="X45" i="14"/>
  <c r="Z45" i="14" s="1"/>
  <c r="Y45" i="14"/>
  <c r="AA45" i="14"/>
  <c r="AB45" i="14"/>
  <c r="V46" i="14"/>
  <c r="W46" i="14"/>
  <c r="X46" i="14"/>
  <c r="Y46" i="14"/>
  <c r="Z46" i="14" s="1"/>
  <c r="AA46" i="14"/>
  <c r="AB46" i="14"/>
  <c r="V47" i="14"/>
  <c r="W47" i="14"/>
  <c r="X47" i="14"/>
  <c r="Y47" i="14"/>
  <c r="Z47" i="14"/>
  <c r="AA47" i="14"/>
  <c r="AB47" i="14"/>
  <c r="V48" i="14"/>
  <c r="W48" i="14"/>
  <c r="X48" i="14"/>
  <c r="Y48" i="14"/>
  <c r="Z48" i="14"/>
  <c r="AA48" i="14"/>
  <c r="AB48" i="14"/>
  <c r="V49" i="14"/>
  <c r="W49" i="14"/>
  <c r="X49" i="14"/>
  <c r="Y49" i="14"/>
  <c r="Z49" i="14"/>
  <c r="AA49" i="14"/>
  <c r="AB49" i="14"/>
  <c r="V50" i="14"/>
  <c r="W50" i="14"/>
  <c r="X50" i="14"/>
  <c r="Z50" i="14" s="1"/>
  <c r="Y50" i="14"/>
  <c r="AA50" i="14"/>
  <c r="AB50" i="14"/>
  <c r="V51" i="14"/>
  <c r="W51" i="14"/>
  <c r="X51" i="14"/>
  <c r="Y51" i="14"/>
  <c r="Z51" i="14"/>
  <c r="AA51" i="14"/>
  <c r="AB51" i="14"/>
  <c r="V52" i="14"/>
  <c r="W52" i="14"/>
  <c r="X52" i="14"/>
  <c r="Y52" i="14"/>
  <c r="Z52" i="14"/>
  <c r="AA52" i="14"/>
  <c r="AB52" i="14"/>
  <c r="V53" i="14"/>
  <c r="W53" i="14"/>
  <c r="X53" i="14"/>
  <c r="Z53" i="14" s="1"/>
  <c r="Y53" i="14"/>
  <c r="AA53" i="14"/>
  <c r="AB53" i="14"/>
  <c r="V54" i="14"/>
  <c r="W54" i="14"/>
  <c r="X54" i="14"/>
  <c r="Y54" i="14"/>
  <c r="Z54" i="14"/>
  <c r="AA54" i="14"/>
  <c r="AB54" i="14"/>
  <c r="V55" i="14"/>
  <c r="W55" i="14"/>
  <c r="X55" i="14"/>
  <c r="Y55" i="14"/>
  <c r="Z55" i="14"/>
  <c r="AA55" i="14"/>
  <c r="AB55" i="14"/>
  <c r="V56" i="14"/>
  <c r="W56" i="14"/>
  <c r="X56" i="14"/>
  <c r="Y56" i="14"/>
  <c r="Z56" i="14" s="1"/>
  <c r="AA56" i="14"/>
  <c r="AB56" i="14"/>
  <c r="V57" i="14"/>
  <c r="W57" i="14"/>
  <c r="X57" i="14"/>
  <c r="Y57" i="14"/>
  <c r="Z57" i="14"/>
  <c r="AA57" i="14"/>
  <c r="AB57" i="14"/>
  <c r="V58" i="14"/>
  <c r="W58" i="14"/>
  <c r="X58" i="14"/>
  <c r="Y58" i="14"/>
  <c r="Z58" i="14"/>
  <c r="AA58" i="14"/>
  <c r="AB58" i="14"/>
  <c r="V59" i="14"/>
  <c r="W59" i="14"/>
  <c r="X59" i="14"/>
  <c r="Y59" i="14"/>
  <c r="Z59" i="14"/>
  <c r="AA59" i="14"/>
  <c r="AB59" i="14"/>
  <c r="V60" i="14"/>
  <c r="W60" i="14"/>
  <c r="X60" i="14"/>
  <c r="Z60" i="14" s="1"/>
  <c r="Y60" i="14"/>
  <c r="AA60" i="14"/>
  <c r="AB60" i="14"/>
  <c r="V61" i="14"/>
  <c r="W61" i="14"/>
  <c r="X61" i="14"/>
  <c r="Y61" i="14"/>
  <c r="Z61" i="14"/>
  <c r="AA61" i="14"/>
  <c r="AB61" i="14"/>
  <c r="V62" i="14"/>
  <c r="W62" i="14"/>
  <c r="X62" i="14"/>
  <c r="Y62" i="14"/>
  <c r="Z62" i="14"/>
  <c r="AA62" i="14"/>
  <c r="AB62" i="14"/>
  <c r="V63" i="14"/>
  <c r="W63" i="14"/>
  <c r="X63" i="14"/>
  <c r="Y63" i="14"/>
  <c r="Z63" i="14"/>
  <c r="AA63" i="14"/>
  <c r="AB63" i="14"/>
  <c r="V64" i="14"/>
  <c r="W64" i="14"/>
  <c r="X64" i="14"/>
  <c r="Y64" i="14"/>
  <c r="Z64" i="14"/>
  <c r="AA64" i="14"/>
  <c r="AB64" i="14"/>
  <c r="V65" i="14"/>
  <c r="W65" i="14"/>
  <c r="X65" i="14"/>
  <c r="Y65" i="14"/>
  <c r="Z65" i="14"/>
  <c r="AA65" i="14"/>
  <c r="AB65" i="14"/>
  <c r="V66" i="14"/>
  <c r="W66" i="14"/>
  <c r="X66" i="14"/>
  <c r="Z66" i="14" s="1"/>
  <c r="Y66" i="14"/>
  <c r="AA66" i="14"/>
  <c r="AB66" i="14"/>
  <c r="V67" i="14"/>
  <c r="W67" i="14"/>
  <c r="X67" i="14"/>
  <c r="Y67" i="14"/>
  <c r="Z67" i="14"/>
  <c r="AA67" i="14"/>
  <c r="AB67" i="14"/>
  <c r="V68" i="14"/>
  <c r="W68" i="14"/>
  <c r="X68" i="14"/>
  <c r="Y68" i="14"/>
  <c r="Z68" i="14"/>
  <c r="AA68" i="14"/>
  <c r="AB68" i="14"/>
  <c r="V69" i="14"/>
  <c r="W69" i="14"/>
  <c r="X69" i="14"/>
  <c r="Z69" i="14" s="1"/>
  <c r="Y69" i="14"/>
  <c r="AA69" i="14"/>
  <c r="AB69" i="14"/>
  <c r="V70" i="14"/>
  <c r="W70" i="14"/>
  <c r="X70" i="14"/>
  <c r="Y70" i="14"/>
  <c r="Z70" i="14"/>
  <c r="AA70" i="14"/>
  <c r="AB70" i="14"/>
  <c r="AB3" i="14"/>
  <c r="AA3" i="14"/>
  <c r="Z3" i="14"/>
  <c r="Y3" i="14"/>
  <c r="X3" i="14"/>
  <c r="W3" i="14"/>
  <c r="V3" i="14"/>
  <c r="D4" i="13"/>
  <c r="E4" i="13"/>
  <c r="F4" i="13"/>
  <c r="G4" i="13"/>
  <c r="H4" i="13"/>
  <c r="I4" i="13"/>
  <c r="D5" i="13"/>
  <c r="E5" i="13"/>
  <c r="F5" i="13"/>
  <c r="G5" i="13"/>
  <c r="H5" i="13"/>
  <c r="I5" i="13"/>
  <c r="D6" i="13"/>
  <c r="E6" i="13"/>
  <c r="F6" i="13"/>
  <c r="G6" i="13"/>
  <c r="H6" i="13"/>
  <c r="I6" i="13"/>
  <c r="D7" i="13"/>
  <c r="E7" i="13"/>
  <c r="F7" i="13"/>
  <c r="G7" i="13"/>
  <c r="H7" i="13"/>
  <c r="I7" i="13"/>
  <c r="D8" i="13"/>
  <c r="E8" i="13"/>
  <c r="F8" i="13"/>
  <c r="G8" i="13"/>
  <c r="H8" i="13"/>
  <c r="I8" i="13"/>
  <c r="D9" i="13"/>
  <c r="E9" i="13"/>
  <c r="F9" i="13"/>
  <c r="G9" i="13"/>
  <c r="H9" i="13"/>
  <c r="I9" i="13"/>
  <c r="D10" i="13"/>
  <c r="E10" i="13"/>
  <c r="F10" i="13"/>
  <c r="G10" i="13"/>
  <c r="H10" i="13"/>
  <c r="I10" i="13"/>
  <c r="D11" i="13"/>
  <c r="E11" i="13"/>
  <c r="F11" i="13"/>
  <c r="G11" i="13"/>
  <c r="H11" i="13"/>
  <c r="I11" i="13"/>
  <c r="D12" i="13"/>
  <c r="E12" i="13"/>
  <c r="F12" i="13"/>
  <c r="G12" i="13"/>
  <c r="H12" i="13"/>
  <c r="I12" i="13"/>
  <c r="D13" i="13"/>
  <c r="E13" i="13"/>
  <c r="F13" i="13"/>
  <c r="G13" i="13"/>
  <c r="H13" i="13"/>
  <c r="I13" i="13"/>
  <c r="D14" i="13"/>
  <c r="E14" i="13"/>
  <c r="F14" i="13"/>
  <c r="G14" i="13"/>
  <c r="H14" i="13"/>
  <c r="I14" i="13"/>
  <c r="D15" i="13"/>
  <c r="E15" i="13"/>
  <c r="F15" i="13"/>
  <c r="G15" i="13"/>
  <c r="H15" i="13"/>
  <c r="I15" i="13"/>
  <c r="D16" i="13"/>
  <c r="E16" i="13"/>
  <c r="F16" i="13"/>
  <c r="G16" i="13"/>
  <c r="H16" i="13"/>
  <c r="I16" i="13"/>
  <c r="D17" i="13"/>
  <c r="E17" i="13"/>
  <c r="F17" i="13"/>
  <c r="G17" i="13"/>
  <c r="H17" i="13"/>
  <c r="I17" i="13"/>
  <c r="D18" i="13"/>
  <c r="E18" i="13"/>
  <c r="F18" i="13"/>
  <c r="G18" i="13"/>
  <c r="H18" i="13"/>
  <c r="I18" i="13"/>
  <c r="D19" i="13"/>
  <c r="E19" i="13"/>
  <c r="F19" i="13"/>
  <c r="G19" i="13"/>
  <c r="H19" i="13"/>
  <c r="I19" i="13"/>
  <c r="D20" i="13"/>
  <c r="E20" i="13"/>
  <c r="F20" i="13"/>
  <c r="G20" i="13"/>
  <c r="H20" i="13"/>
  <c r="I20" i="13"/>
  <c r="D21" i="13"/>
  <c r="E21" i="13"/>
  <c r="F21" i="13"/>
  <c r="G21" i="13"/>
  <c r="H21" i="13"/>
  <c r="I21" i="13"/>
  <c r="D22" i="13"/>
  <c r="E22" i="13"/>
  <c r="F22" i="13"/>
  <c r="G22" i="13"/>
  <c r="H22" i="13"/>
  <c r="I22" i="13"/>
  <c r="D23" i="13"/>
  <c r="E23" i="13"/>
  <c r="F23" i="13"/>
  <c r="G23" i="13"/>
  <c r="H23" i="13"/>
  <c r="I23" i="13"/>
  <c r="D24" i="13"/>
  <c r="E24" i="13"/>
  <c r="F24" i="13"/>
  <c r="G24" i="13"/>
  <c r="H24" i="13"/>
  <c r="I24" i="13"/>
  <c r="D25" i="13"/>
  <c r="E25" i="13"/>
  <c r="F25" i="13"/>
  <c r="G25" i="13"/>
  <c r="H25" i="13"/>
  <c r="I25" i="13"/>
  <c r="D26" i="13"/>
  <c r="E26" i="13"/>
  <c r="F26" i="13"/>
  <c r="G26" i="13"/>
  <c r="H26" i="13"/>
  <c r="I26" i="13"/>
  <c r="D27" i="13"/>
  <c r="E27" i="13"/>
  <c r="F27" i="13"/>
  <c r="G27" i="13"/>
  <c r="H27" i="13"/>
  <c r="I27" i="13"/>
  <c r="D28" i="13"/>
  <c r="E28" i="13"/>
  <c r="F28" i="13"/>
  <c r="G28" i="13"/>
  <c r="H28" i="13"/>
  <c r="I28" i="13"/>
  <c r="D29" i="13"/>
  <c r="E29" i="13"/>
  <c r="F29" i="13"/>
  <c r="G29" i="13"/>
  <c r="H29" i="13"/>
  <c r="I29" i="13"/>
  <c r="D30" i="13"/>
  <c r="E30" i="13"/>
  <c r="F30" i="13"/>
  <c r="G30" i="13"/>
  <c r="H30" i="13"/>
  <c r="I30" i="13"/>
  <c r="D31" i="13"/>
  <c r="E31" i="13"/>
  <c r="F31" i="13"/>
  <c r="G31" i="13"/>
  <c r="H31" i="13"/>
  <c r="I31" i="13"/>
  <c r="D32" i="13"/>
  <c r="E32" i="13"/>
  <c r="F32" i="13"/>
  <c r="G32" i="13"/>
  <c r="H32" i="13"/>
  <c r="I32" i="13"/>
  <c r="D33" i="13"/>
  <c r="E33" i="13"/>
  <c r="F33" i="13"/>
  <c r="G33" i="13"/>
  <c r="H33" i="13"/>
  <c r="I33" i="13"/>
  <c r="D34" i="13"/>
  <c r="E34" i="13"/>
  <c r="F34" i="13"/>
  <c r="G34" i="13"/>
  <c r="H34" i="13"/>
  <c r="I34" i="13"/>
  <c r="D35" i="13"/>
  <c r="E35" i="13"/>
  <c r="F35" i="13"/>
  <c r="G35" i="13"/>
  <c r="H35" i="13"/>
  <c r="I35" i="13"/>
  <c r="D36" i="13"/>
  <c r="E36" i="13"/>
  <c r="F36" i="13"/>
  <c r="G36" i="13"/>
  <c r="H36" i="13"/>
  <c r="I36" i="13"/>
  <c r="D37" i="13"/>
  <c r="E37" i="13"/>
  <c r="F37" i="13"/>
  <c r="G37" i="13"/>
  <c r="H37" i="13"/>
  <c r="I37" i="13"/>
  <c r="D38" i="13"/>
  <c r="E38" i="13"/>
  <c r="F38" i="13"/>
  <c r="G38" i="13"/>
  <c r="H38" i="13"/>
  <c r="I38" i="13"/>
  <c r="D39" i="13"/>
  <c r="E39" i="13"/>
  <c r="F39" i="13"/>
  <c r="G39" i="13"/>
  <c r="H39" i="13"/>
  <c r="I39" i="13"/>
  <c r="D40" i="13"/>
  <c r="E40" i="13"/>
  <c r="F40" i="13"/>
  <c r="G40" i="13"/>
  <c r="H40" i="13"/>
  <c r="I40" i="13"/>
  <c r="D41" i="13"/>
  <c r="E41" i="13"/>
  <c r="F41" i="13"/>
  <c r="G41" i="13"/>
  <c r="H41" i="13"/>
  <c r="I41" i="13"/>
  <c r="D42" i="13"/>
  <c r="E42" i="13"/>
  <c r="F42" i="13"/>
  <c r="G42" i="13"/>
  <c r="H42" i="13"/>
  <c r="I42" i="13"/>
  <c r="D43" i="13"/>
  <c r="E43" i="13"/>
  <c r="F43" i="13"/>
  <c r="G43" i="13"/>
  <c r="H43" i="13"/>
  <c r="I43" i="13"/>
  <c r="D44" i="13"/>
  <c r="E44" i="13"/>
  <c r="F44" i="13"/>
  <c r="G44" i="13"/>
  <c r="H44" i="13"/>
  <c r="I44" i="13"/>
  <c r="D45" i="13"/>
  <c r="E45" i="13"/>
  <c r="F45" i="13"/>
  <c r="G45" i="13"/>
  <c r="H45" i="13"/>
  <c r="I45" i="13"/>
  <c r="D46" i="13"/>
  <c r="E46" i="13"/>
  <c r="F46" i="13"/>
  <c r="G46" i="13"/>
  <c r="H46" i="13"/>
  <c r="I46" i="13"/>
  <c r="D47" i="13"/>
  <c r="E47" i="13"/>
  <c r="F47" i="13"/>
  <c r="G47" i="13"/>
  <c r="H47" i="13"/>
  <c r="I47" i="13"/>
  <c r="D48" i="13"/>
  <c r="E48" i="13"/>
  <c r="F48" i="13"/>
  <c r="G48" i="13"/>
  <c r="H48" i="13"/>
  <c r="I48" i="13"/>
  <c r="D49" i="13"/>
  <c r="E49" i="13"/>
  <c r="F49" i="13"/>
  <c r="G49" i="13"/>
  <c r="H49" i="13"/>
  <c r="I49" i="13"/>
  <c r="D50" i="13"/>
  <c r="E50" i="13"/>
  <c r="F50" i="13"/>
  <c r="G50" i="13"/>
  <c r="H50" i="13"/>
  <c r="I50" i="13"/>
  <c r="D51" i="13"/>
  <c r="E51" i="13"/>
  <c r="F51" i="13"/>
  <c r="G51" i="13"/>
  <c r="H51" i="13"/>
  <c r="I51" i="13"/>
  <c r="D52" i="13"/>
  <c r="E52" i="13"/>
  <c r="F52" i="13"/>
  <c r="G52" i="13"/>
  <c r="H52" i="13"/>
  <c r="I52" i="13"/>
  <c r="D53" i="13"/>
  <c r="E53" i="13"/>
  <c r="F53" i="13"/>
  <c r="G53" i="13"/>
  <c r="H53" i="13"/>
  <c r="I53" i="13"/>
  <c r="D54" i="13"/>
  <c r="E54" i="13"/>
  <c r="F54" i="13"/>
  <c r="G54" i="13"/>
  <c r="H54" i="13"/>
  <c r="I54" i="13"/>
  <c r="D55" i="13"/>
  <c r="E55" i="13"/>
  <c r="F55" i="13"/>
  <c r="G55" i="13"/>
  <c r="H55" i="13"/>
  <c r="I55" i="13"/>
  <c r="D56" i="13"/>
  <c r="E56" i="13"/>
  <c r="F56" i="13"/>
  <c r="G56" i="13"/>
  <c r="H56" i="13"/>
  <c r="I56" i="13"/>
  <c r="D57" i="13"/>
  <c r="E57" i="13"/>
  <c r="F57" i="13"/>
  <c r="G57" i="13"/>
  <c r="H57" i="13"/>
  <c r="I57" i="13"/>
  <c r="D58" i="13"/>
  <c r="E58" i="13"/>
  <c r="F58" i="13"/>
  <c r="G58" i="13"/>
  <c r="H58" i="13"/>
  <c r="I58" i="13"/>
  <c r="D59" i="13"/>
  <c r="E59" i="13"/>
  <c r="F59" i="13"/>
  <c r="G59" i="13"/>
  <c r="H59" i="13"/>
  <c r="I59" i="13"/>
  <c r="D60" i="13"/>
  <c r="E60" i="13"/>
  <c r="F60" i="13"/>
  <c r="G60" i="13"/>
  <c r="H60" i="13"/>
  <c r="I60" i="13"/>
  <c r="D61" i="13"/>
  <c r="E61" i="13"/>
  <c r="F61" i="13"/>
  <c r="G61" i="13"/>
  <c r="H61" i="13"/>
  <c r="I61" i="13"/>
  <c r="D62" i="13"/>
  <c r="E62" i="13"/>
  <c r="F62" i="13"/>
  <c r="G62" i="13"/>
  <c r="H62" i="13"/>
  <c r="I62" i="13"/>
  <c r="D63" i="13"/>
  <c r="E63" i="13"/>
  <c r="F63" i="13"/>
  <c r="G63" i="13"/>
  <c r="H63" i="13"/>
  <c r="I63" i="13"/>
  <c r="D64" i="13"/>
  <c r="E64" i="13"/>
  <c r="F64" i="13"/>
  <c r="G64" i="13"/>
  <c r="H64" i="13"/>
  <c r="I64" i="13"/>
  <c r="D65" i="13"/>
  <c r="E65" i="13"/>
  <c r="F65" i="13"/>
  <c r="G65" i="13"/>
  <c r="H65" i="13"/>
  <c r="I65" i="13"/>
  <c r="D66" i="13"/>
  <c r="E66" i="13"/>
  <c r="F66" i="13"/>
  <c r="G66" i="13"/>
  <c r="H66" i="13"/>
  <c r="I66" i="13"/>
  <c r="D67" i="13"/>
  <c r="E67" i="13"/>
  <c r="F67" i="13"/>
  <c r="G67" i="13"/>
  <c r="H67" i="13"/>
  <c r="I67" i="13"/>
  <c r="D68" i="13"/>
  <c r="E68" i="13"/>
  <c r="F68" i="13"/>
  <c r="G68" i="13"/>
  <c r="H68" i="13"/>
  <c r="I68" i="13"/>
  <c r="D69" i="13"/>
  <c r="E69" i="13"/>
  <c r="F69" i="13"/>
  <c r="G69" i="13"/>
  <c r="H69" i="13"/>
  <c r="I69" i="13"/>
  <c r="D70" i="13"/>
  <c r="E70" i="13"/>
  <c r="F70" i="13"/>
  <c r="G70" i="13"/>
  <c r="H70" i="13"/>
  <c r="I70" i="13"/>
  <c r="D71" i="13"/>
  <c r="E71" i="13"/>
  <c r="F71" i="13"/>
  <c r="G71" i="13"/>
  <c r="H71" i="13"/>
  <c r="I71" i="13"/>
  <c r="D72" i="13"/>
  <c r="E72" i="13"/>
  <c r="F72" i="13"/>
  <c r="G72" i="13"/>
  <c r="H72" i="13"/>
  <c r="I72" i="13"/>
  <c r="D73" i="13"/>
  <c r="E73" i="13"/>
  <c r="F73" i="13"/>
  <c r="G73" i="13"/>
  <c r="H73" i="13"/>
  <c r="I73" i="13"/>
  <c r="D74" i="13"/>
  <c r="E74" i="13"/>
  <c r="F74" i="13"/>
  <c r="G74" i="13"/>
  <c r="H74" i="13"/>
  <c r="I74" i="13"/>
  <c r="D75" i="13"/>
  <c r="E75" i="13"/>
  <c r="F75" i="13"/>
  <c r="G75" i="13"/>
  <c r="H75" i="13"/>
  <c r="I75" i="13"/>
  <c r="D76" i="13"/>
  <c r="E76" i="13"/>
  <c r="F76" i="13"/>
  <c r="G76" i="13"/>
  <c r="H76" i="13"/>
  <c r="I76" i="13"/>
  <c r="D77" i="13"/>
  <c r="E77" i="13"/>
  <c r="F77" i="13"/>
  <c r="G77" i="13"/>
  <c r="H77" i="13"/>
  <c r="I77" i="13"/>
  <c r="D78" i="13"/>
  <c r="E78" i="13"/>
  <c r="F78" i="13"/>
  <c r="G78" i="13"/>
  <c r="H78" i="13"/>
  <c r="I78" i="13"/>
  <c r="D79" i="13"/>
  <c r="E79" i="13"/>
  <c r="F79" i="13"/>
  <c r="G79" i="13"/>
  <c r="H79" i="13"/>
  <c r="I79" i="13"/>
  <c r="D80" i="13"/>
  <c r="E80" i="13"/>
  <c r="F80" i="13"/>
  <c r="G80" i="13"/>
  <c r="H80" i="13"/>
  <c r="I80" i="13"/>
  <c r="D81" i="13"/>
  <c r="E81" i="13"/>
  <c r="F81" i="13"/>
  <c r="G81" i="13"/>
  <c r="H81" i="13"/>
  <c r="I81" i="13"/>
  <c r="D82" i="13"/>
  <c r="E82" i="13"/>
  <c r="F82" i="13"/>
  <c r="G82" i="13"/>
  <c r="H82" i="13"/>
  <c r="I82" i="13"/>
  <c r="D83" i="13"/>
  <c r="E83" i="13"/>
  <c r="F83" i="13"/>
  <c r="G83" i="13"/>
  <c r="H83" i="13"/>
  <c r="I83" i="13"/>
  <c r="D84" i="13"/>
  <c r="E84" i="13"/>
  <c r="F84" i="13"/>
  <c r="G84" i="13"/>
  <c r="H84" i="13"/>
  <c r="I84" i="13"/>
  <c r="D85" i="13"/>
  <c r="E85" i="13"/>
  <c r="F85" i="13"/>
  <c r="G85" i="13"/>
  <c r="H85" i="13"/>
  <c r="I85" i="13"/>
  <c r="D86" i="13"/>
  <c r="E86" i="13"/>
  <c r="F86" i="13"/>
  <c r="G86" i="13"/>
  <c r="H86" i="13"/>
  <c r="I86" i="13"/>
  <c r="D87" i="13"/>
  <c r="E87" i="13"/>
  <c r="F87" i="13"/>
  <c r="G87" i="13"/>
  <c r="H87" i="13"/>
  <c r="I87" i="13"/>
  <c r="Q5" i="12"/>
  <c r="R5" i="12"/>
  <c r="S5" i="12"/>
  <c r="T5" i="12"/>
  <c r="U5" i="12"/>
  <c r="V5" i="12"/>
  <c r="Q6" i="12"/>
  <c r="R6" i="12"/>
  <c r="S6" i="12"/>
  <c r="T6" i="12"/>
  <c r="U6" i="12"/>
  <c r="V6" i="12"/>
  <c r="Q7" i="12"/>
  <c r="R7" i="12"/>
  <c r="S7" i="12"/>
  <c r="T7" i="12"/>
  <c r="U7" i="12"/>
  <c r="V7" i="12"/>
  <c r="Q8" i="12"/>
  <c r="R8" i="12"/>
  <c r="S8" i="12"/>
  <c r="T8" i="12"/>
  <c r="U8" i="12"/>
  <c r="V8" i="12"/>
  <c r="Q9" i="12"/>
  <c r="R9" i="12"/>
  <c r="S9" i="12"/>
  <c r="T9" i="12"/>
  <c r="U9" i="12"/>
  <c r="V9" i="12"/>
  <c r="Q10" i="12"/>
  <c r="R10" i="12"/>
  <c r="S10" i="12"/>
  <c r="T10" i="12"/>
  <c r="U10" i="12"/>
  <c r="V10" i="12"/>
  <c r="Q11" i="12"/>
  <c r="R11" i="12"/>
  <c r="S11" i="12"/>
  <c r="T11" i="12"/>
  <c r="U11" i="12"/>
  <c r="V11" i="12"/>
  <c r="Q12" i="12"/>
  <c r="R12" i="12"/>
  <c r="S12" i="12"/>
  <c r="T12" i="12"/>
  <c r="U12" i="12"/>
  <c r="V12" i="12"/>
  <c r="Q5" i="11"/>
  <c r="R5" i="11"/>
  <c r="S5" i="11"/>
  <c r="T5" i="11"/>
  <c r="U5" i="11"/>
  <c r="V5" i="11"/>
  <c r="Q6" i="11"/>
  <c r="R6" i="11"/>
  <c r="S6" i="11"/>
  <c r="T6" i="11"/>
  <c r="U6" i="11"/>
  <c r="V6" i="11"/>
  <c r="Q7" i="11"/>
  <c r="R7" i="11"/>
  <c r="S7" i="11"/>
  <c r="T7" i="11"/>
  <c r="U7" i="11"/>
  <c r="V7" i="11"/>
  <c r="Q8" i="11"/>
  <c r="R8" i="11"/>
  <c r="S8" i="11"/>
  <c r="T8" i="11"/>
  <c r="U8" i="11"/>
  <c r="V8" i="11"/>
  <c r="Q9" i="11"/>
  <c r="R9" i="11"/>
  <c r="S9" i="11"/>
  <c r="T9" i="11"/>
  <c r="U9" i="11"/>
  <c r="V9" i="11"/>
  <c r="Q10" i="11"/>
  <c r="R10" i="11"/>
  <c r="S10" i="11"/>
  <c r="T10" i="11"/>
  <c r="U10" i="11"/>
  <c r="V10" i="11"/>
  <c r="Q11" i="11"/>
  <c r="R11" i="11"/>
  <c r="S11" i="11"/>
  <c r="T11" i="11"/>
  <c r="U11" i="11"/>
  <c r="V11" i="11"/>
  <c r="Q12" i="11"/>
  <c r="R12" i="11"/>
  <c r="S12" i="11"/>
  <c r="T12" i="11"/>
  <c r="U12" i="11"/>
  <c r="V12" i="11"/>
  <c r="Q13" i="11"/>
  <c r="R13" i="11"/>
  <c r="S13" i="11"/>
  <c r="T13" i="11"/>
  <c r="U13" i="11"/>
  <c r="V13" i="11"/>
  <c r="Q14" i="11"/>
  <c r="R14" i="11"/>
  <c r="S14" i="11"/>
  <c r="T14" i="11"/>
  <c r="U14" i="11"/>
  <c r="V14" i="11"/>
  <c r="Q15" i="11"/>
  <c r="R15" i="11"/>
  <c r="S15" i="11"/>
  <c r="T15" i="11"/>
  <c r="U15" i="11"/>
  <c r="V15" i="11"/>
  <c r="Q16" i="11"/>
  <c r="R16" i="11"/>
  <c r="S16" i="11"/>
  <c r="T16" i="11"/>
  <c r="U16" i="11"/>
  <c r="V16" i="11"/>
  <c r="Q17" i="11"/>
  <c r="R17" i="11"/>
  <c r="S17" i="11"/>
  <c r="T17" i="11"/>
  <c r="U17" i="11"/>
  <c r="V17" i="11"/>
  <c r="Q18" i="11"/>
  <c r="R18" i="11"/>
  <c r="S18" i="11"/>
  <c r="T18" i="11"/>
  <c r="U18" i="11"/>
  <c r="V18" i="11"/>
  <c r="Q19" i="11"/>
  <c r="R19" i="11"/>
  <c r="S19" i="11"/>
  <c r="T19" i="11"/>
  <c r="U19" i="11"/>
  <c r="V19" i="11"/>
  <c r="Q20" i="11"/>
  <c r="R20" i="11"/>
  <c r="S20" i="11"/>
  <c r="T20" i="11"/>
  <c r="U20" i="11"/>
  <c r="V20" i="11"/>
  <c r="Q5" i="10"/>
  <c r="R5" i="10"/>
  <c r="S5" i="10"/>
  <c r="T5" i="10"/>
  <c r="U5" i="10"/>
  <c r="V5" i="10"/>
  <c r="Q6" i="10"/>
  <c r="R6" i="10"/>
  <c r="S6" i="10"/>
  <c r="T6" i="10"/>
  <c r="U6" i="10"/>
  <c r="V6" i="10"/>
  <c r="Q7" i="10"/>
  <c r="R7" i="10"/>
  <c r="S7" i="10"/>
  <c r="T7" i="10"/>
  <c r="U7" i="10"/>
  <c r="V7" i="10"/>
  <c r="Q8" i="10"/>
  <c r="R8" i="10"/>
  <c r="S8" i="10"/>
  <c r="T8" i="10"/>
  <c r="U8" i="10"/>
  <c r="V8" i="10"/>
  <c r="Q9" i="10"/>
  <c r="R9" i="10"/>
  <c r="S9" i="10"/>
  <c r="T9" i="10"/>
  <c r="U9" i="10"/>
  <c r="V9" i="10"/>
  <c r="Q10" i="10"/>
  <c r="R10" i="10"/>
  <c r="S10" i="10"/>
  <c r="T10" i="10"/>
  <c r="U10" i="10"/>
  <c r="V10" i="10"/>
  <c r="Q11" i="10"/>
  <c r="R11" i="10"/>
  <c r="S11" i="10"/>
  <c r="T11" i="10"/>
  <c r="U11" i="10"/>
  <c r="V11" i="10"/>
  <c r="Q12" i="10"/>
  <c r="R12" i="10"/>
  <c r="S12" i="10"/>
  <c r="T12" i="10"/>
  <c r="U12" i="10"/>
  <c r="V12" i="10"/>
  <c r="Q5" i="9"/>
  <c r="R5" i="9"/>
  <c r="S5" i="9"/>
  <c r="T5" i="9"/>
  <c r="U5" i="9"/>
  <c r="V5" i="9"/>
  <c r="Q6" i="9"/>
  <c r="R6" i="9"/>
  <c r="S6" i="9"/>
  <c r="T6" i="9"/>
  <c r="U6" i="9"/>
  <c r="V6" i="9"/>
  <c r="Q7" i="9"/>
  <c r="R7" i="9"/>
  <c r="S7" i="9"/>
  <c r="T7" i="9"/>
  <c r="U7" i="9"/>
  <c r="V7" i="9"/>
  <c r="Q8" i="9"/>
  <c r="R8" i="9"/>
  <c r="S8" i="9"/>
  <c r="T8" i="9"/>
  <c r="U8" i="9"/>
  <c r="V8" i="9"/>
  <c r="Q9" i="9"/>
  <c r="R9" i="9"/>
  <c r="S9" i="9"/>
  <c r="T9" i="9"/>
  <c r="U9" i="9"/>
  <c r="V9" i="9"/>
  <c r="Q10" i="9"/>
  <c r="R10" i="9"/>
  <c r="S10" i="9"/>
  <c r="T10" i="9"/>
  <c r="U10" i="9"/>
  <c r="V10" i="9"/>
  <c r="Q11" i="9"/>
  <c r="R11" i="9"/>
  <c r="S11" i="9"/>
  <c r="T11" i="9"/>
  <c r="U11" i="9"/>
  <c r="V11" i="9"/>
  <c r="Q12" i="9"/>
  <c r="R12" i="9"/>
  <c r="S12" i="9"/>
  <c r="T12" i="9"/>
  <c r="U12" i="9"/>
  <c r="V12" i="9"/>
  <c r="Q5" i="8"/>
  <c r="R5" i="8"/>
  <c r="S5" i="8"/>
  <c r="T5" i="8"/>
  <c r="U5" i="8"/>
  <c r="V5" i="8"/>
  <c r="Q6" i="8"/>
  <c r="R6" i="8"/>
  <c r="S6" i="8"/>
  <c r="T6" i="8"/>
  <c r="U6" i="8"/>
  <c r="V6" i="8"/>
  <c r="Q7" i="8"/>
  <c r="R7" i="8"/>
  <c r="S7" i="8"/>
  <c r="T7" i="8"/>
  <c r="U7" i="8"/>
  <c r="V7" i="8"/>
  <c r="Q8" i="8"/>
  <c r="R8" i="8"/>
  <c r="S8" i="8"/>
  <c r="T8" i="8"/>
  <c r="U8" i="8"/>
  <c r="V8" i="8"/>
  <c r="Q5" i="7"/>
  <c r="R5" i="7"/>
  <c r="S5" i="7"/>
  <c r="T5" i="7"/>
  <c r="U5" i="7"/>
  <c r="V5" i="7"/>
  <c r="Q6" i="7"/>
  <c r="R6" i="7"/>
  <c r="S6" i="7"/>
  <c r="T6" i="7"/>
  <c r="U6" i="7"/>
  <c r="V6" i="7"/>
  <c r="Q7" i="7"/>
  <c r="R7" i="7"/>
  <c r="S7" i="7"/>
  <c r="T7" i="7"/>
  <c r="U7" i="7"/>
  <c r="V7" i="7"/>
  <c r="Q8" i="7"/>
  <c r="R8" i="7"/>
  <c r="S8" i="7"/>
  <c r="T8" i="7"/>
  <c r="U8" i="7"/>
  <c r="V8" i="7"/>
  <c r="Q5" i="6"/>
  <c r="R5" i="6"/>
  <c r="S5" i="6"/>
  <c r="T5" i="6"/>
  <c r="U5" i="6"/>
  <c r="V5" i="6"/>
  <c r="Q6" i="6"/>
  <c r="R6" i="6"/>
  <c r="S6" i="6"/>
  <c r="T6" i="6"/>
  <c r="U6" i="6"/>
  <c r="V6" i="6"/>
  <c r="Q7" i="6"/>
  <c r="R7" i="6"/>
  <c r="S7" i="6"/>
  <c r="T7" i="6"/>
  <c r="U7" i="6"/>
  <c r="V7" i="6"/>
  <c r="Q8" i="6"/>
  <c r="R8" i="6"/>
  <c r="S8" i="6"/>
  <c r="T8" i="6"/>
  <c r="U8" i="6"/>
  <c r="V8" i="6"/>
  <c r="Q9" i="6"/>
  <c r="R9" i="6"/>
  <c r="S9" i="6"/>
  <c r="T9" i="6"/>
  <c r="U9" i="6"/>
  <c r="V9" i="6"/>
  <c r="Q10" i="6"/>
  <c r="R10" i="6"/>
  <c r="S10" i="6"/>
  <c r="T10" i="6"/>
  <c r="U10" i="6"/>
  <c r="V10" i="6"/>
  <c r="Q11" i="6"/>
  <c r="R11" i="6"/>
  <c r="S11" i="6"/>
  <c r="T11" i="6"/>
  <c r="U11" i="6"/>
  <c r="V11" i="6"/>
  <c r="Q12" i="6"/>
  <c r="R12" i="6"/>
  <c r="S12" i="6"/>
  <c r="T12" i="6"/>
  <c r="U12" i="6"/>
  <c r="V12" i="6"/>
  <c r="Q5" i="5"/>
  <c r="R5" i="5"/>
  <c r="S5" i="5"/>
  <c r="T5" i="5"/>
  <c r="U5" i="5"/>
  <c r="V5" i="5"/>
  <c r="Q6" i="5"/>
  <c r="R6" i="5"/>
  <c r="S6" i="5"/>
  <c r="T6" i="5"/>
  <c r="U6" i="5"/>
  <c r="V6" i="5"/>
  <c r="Q7" i="5"/>
  <c r="R7" i="5"/>
  <c r="S7" i="5"/>
  <c r="T7" i="5"/>
  <c r="U7" i="5"/>
  <c r="V7" i="5"/>
  <c r="Q8" i="5"/>
  <c r="R8" i="5"/>
  <c r="S8" i="5"/>
  <c r="T8" i="5"/>
  <c r="U8" i="5"/>
  <c r="V8" i="5"/>
  <c r="Q9" i="5"/>
  <c r="R9" i="5"/>
  <c r="S9" i="5"/>
  <c r="T9" i="5"/>
  <c r="U9" i="5"/>
  <c r="V9" i="5"/>
  <c r="Q10" i="5"/>
  <c r="R10" i="5"/>
  <c r="S10" i="5"/>
  <c r="T10" i="5"/>
  <c r="U10" i="5"/>
  <c r="V10" i="5"/>
  <c r="Q11" i="5"/>
  <c r="R11" i="5"/>
  <c r="S11" i="5"/>
  <c r="T11" i="5"/>
  <c r="U11" i="5"/>
  <c r="V11" i="5"/>
  <c r="Q12" i="5"/>
  <c r="R12" i="5"/>
  <c r="S12" i="5"/>
  <c r="T12" i="5"/>
  <c r="U12" i="5"/>
  <c r="V12" i="5"/>
  <c r="V24" i="4"/>
  <c r="U24" i="4"/>
  <c r="T24" i="4"/>
  <c r="S24" i="4"/>
  <c r="R24" i="4"/>
  <c r="Q24" i="4"/>
  <c r="V23" i="4"/>
  <c r="U23" i="4"/>
  <c r="T23" i="4"/>
  <c r="S23" i="4"/>
  <c r="R23" i="4"/>
  <c r="Q23" i="4"/>
  <c r="V22" i="4"/>
  <c r="U22" i="4"/>
  <c r="T22" i="4"/>
  <c r="S22" i="4"/>
  <c r="R22" i="4"/>
  <c r="Q22" i="4"/>
  <c r="V21" i="4"/>
  <c r="U21" i="4"/>
  <c r="T21" i="4"/>
  <c r="S21" i="4"/>
  <c r="R21" i="4"/>
  <c r="Q21" i="4"/>
  <c r="V20" i="4"/>
  <c r="U20" i="4"/>
  <c r="T20" i="4"/>
  <c r="S20" i="4"/>
  <c r="R20" i="4"/>
  <c r="Q20" i="4"/>
  <c r="V19" i="4"/>
  <c r="U19" i="4"/>
  <c r="T19" i="4"/>
  <c r="S19" i="4"/>
  <c r="R19" i="4"/>
  <c r="Q19" i="4"/>
  <c r="V18" i="4"/>
  <c r="U18" i="4"/>
  <c r="T18" i="4"/>
  <c r="S18" i="4"/>
  <c r="R18" i="4"/>
  <c r="Q18" i="4"/>
  <c r="V17" i="4"/>
  <c r="U17" i="4"/>
  <c r="T17" i="4"/>
  <c r="S17" i="4"/>
  <c r="R17" i="4"/>
  <c r="Q17" i="4"/>
  <c r="V16" i="4"/>
  <c r="U16" i="4"/>
  <c r="T16" i="4"/>
  <c r="S16" i="4"/>
  <c r="R16" i="4"/>
  <c r="Q16" i="4"/>
  <c r="V15" i="4"/>
  <c r="U15" i="4"/>
  <c r="T15" i="4"/>
  <c r="S15" i="4"/>
  <c r="R15" i="4"/>
  <c r="Q15" i="4"/>
  <c r="V14" i="4"/>
  <c r="U14" i="4"/>
  <c r="T14" i="4"/>
  <c r="S14" i="4"/>
  <c r="R14" i="4"/>
  <c r="Q14" i="4"/>
  <c r="V13" i="4"/>
  <c r="U13" i="4"/>
  <c r="T13" i="4"/>
  <c r="S13" i="4"/>
  <c r="R13" i="4"/>
  <c r="Q13" i="4"/>
  <c r="V12" i="4"/>
  <c r="U12" i="4"/>
  <c r="T12" i="4"/>
  <c r="S12" i="4"/>
  <c r="R12" i="4"/>
  <c r="Q12" i="4"/>
  <c r="V11" i="4"/>
  <c r="U11" i="4"/>
  <c r="T11" i="4"/>
  <c r="S11" i="4"/>
  <c r="R11" i="4"/>
  <c r="Q11" i="4"/>
  <c r="V10" i="4"/>
  <c r="U10" i="4"/>
  <c r="T10" i="4"/>
  <c r="S10" i="4"/>
  <c r="R10" i="4"/>
  <c r="Q10" i="4"/>
  <c r="V9" i="4"/>
  <c r="U9" i="4"/>
  <c r="T9" i="4"/>
  <c r="S9" i="4"/>
  <c r="R9" i="4"/>
  <c r="Q9" i="4"/>
  <c r="V8" i="4"/>
  <c r="U8" i="4"/>
  <c r="T8" i="4"/>
  <c r="S8" i="4"/>
  <c r="R8" i="4"/>
  <c r="Q8" i="4"/>
  <c r="V7" i="4"/>
  <c r="U7" i="4"/>
  <c r="T7" i="4"/>
  <c r="S7" i="4"/>
  <c r="R7" i="4"/>
  <c r="Q7" i="4"/>
  <c r="V6" i="4"/>
  <c r="U6" i="4"/>
  <c r="T6" i="4"/>
  <c r="S6" i="4"/>
  <c r="R6" i="4"/>
  <c r="Q6" i="4"/>
  <c r="V5" i="4"/>
  <c r="U5" i="4"/>
  <c r="T5" i="4"/>
  <c r="S5" i="4"/>
  <c r="R5" i="4"/>
  <c r="Q5" i="4"/>
  <c r="E36" i="15" l="1"/>
  <c r="E32" i="15"/>
  <c r="F34" i="15"/>
  <c r="F30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<sst xmlns="http://schemas.openxmlformats.org/spreadsheetml/2006/main" count="6764" uniqueCount="131">
  <si>
    <t>Pier</t>
  </si>
  <si>
    <t>Output Case</t>
  </si>
  <si>
    <t>Case Type</t>
  </si>
  <si>
    <t>Step Type</t>
  </si>
  <si>
    <t>Location</t>
  </si>
  <si>
    <t>P</t>
  </si>
  <si>
    <t>tonf</t>
  </si>
  <si>
    <t>V2</t>
  </si>
  <si>
    <t>V3</t>
  </si>
  <si>
    <t>T</t>
  </si>
  <si>
    <t>tonf-m</t>
  </si>
  <si>
    <t>M2</t>
  </si>
  <si>
    <t>M3</t>
  </si>
  <si>
    <t>PN</t>
  </si>
  <si>
    <t>PP</t>
  </si>
  <si>
    <t>LinStatic</t>
  </si>
  <si>
    <t>Top</t>
  </si>
  <si>
    <t>Bottom</t>
  </si>
  <si>
    <t>SC</t>
  </si>
  <si>
    <t>SX</t>
  </si>
  <si>
    <t>LinRespSpec</t>
  </si>
  <si>
    <t>Max</t>
  </si>
  <si>
    <t>SY</t>
  </si>
  <si>
    <t>C1</t>
  </si>
  <si>
    <t>Combination</t>
  </si>
  <si>
    <t>C2</t>
  </si>
  <si>
    <t>C3</t>
  </si>
  <si>
    <t>Min</t>
  </si>
  <si>
    <t>C5</t>
  </si>
  <si>
    <t>C6</t>
  </si>
  <si>
    <t>ENVC</t>
  </si>
  <si>
    <t>C4</t>
  </si>
  <si>
    <t>PPSC</t>
  </si>
  <si>
    <t>Story</t>
  </si>
  <si>
    <t>P1</t>
  </si>
  <si>
    <t>P13</t>
  </si>
  <si>
    <t>Plb</t>
  </si>
  <si>
    <t>P12</t>
  </si>
  <si>
    <t>PL-J-11</t>
  </si>
  <si>
    <t>PJ2</t>
  </si>
  <si>
    <t>PL-6</t>
  </si>
  <si>
    <t>PJ1</t>
  </si>
  <si>
    <t>PI</t>
  </si>
  <si>
    <t>P5</t>
  </si>
  <si>
    <t>PJ</t>
  </si>
  <si>
    <t>P8-7</t>
  </si>
  <si>
    <t>PH</t>
  </si>
  <si>
    <t>PE</t>
  </si>
  <si>
    <t>P9</t>
  </si>
  <si>
    <t>PG</t>
  </si>
  <si>
    <t>P3-L-J</t>
  </si>
  <si>
    <t>P3-L</t>
  </si>
  <si>
    <t>P11</t>
  </si>
  <si>
    <t>Resumen V2 / M3 / P por Pier y Caso</t>
  </si>
  <si>
    <t>V2 max</t>
  </si>
  <si>
    <t>V2 min</t>
  </si>
  <si>
    <t>M3 max</t>
  </si>
  <si>
    <t>M3 min</t>
  </si>
  <si>
    <t>P max</t>
  </si>
  <si>
    <t>P min</t>
  </si>
  <si>
    <t>Resumen consolidado V2 / M3 / P por Muro, Pier y Caso</t>
  </si>
  <si>
    <t>MURO PERIMETRAL</t>
  </si>
  <si>
    <t>Sección</t>
  </si>
  <si>
    <t>TYPE</t>
  </si>
  <si>
    <t>SECTION</t>
  </si>
  <si>
    <t>POINTS</t>
  </si>
  <si>
    <t>X1</t>
  </si>
  <si>
    <t>Y1</t>
  </si>
  <si>
    <t>DZ1</t>
  </si>
  <si>
    <t>BELOW1</t>
  </si>
  <si>
    <t>X2</t>
  </si>
  <si>
    <t>Y2</t>
  </si>
  <si>
    <t>DZ2</t>
  </si>
  <si>
    <t>BELOW2</t>
  </si>
  <si>
    <t>X3</t>
  </si>
  <si>
    <t>Y3</t>
  </si>
  <si>
    <t>DZ3</t>
  </si>
  <si>
    <t>BELOW3</t>
  </si>
  <si>
    <t>X4</t>
  </si>
  <si>
    <t>Y4</t>
  </si>
  <si>
    <t>DZ4</t>
  </si>
  <si>
    <t>BELOW4</t>
  </si>
  <si>
    <t>MHA20G35</t>
  </si>
  <si>
    <t>Y</t>
  </si>
  <si>
    <t>N</t>
  </si>
  <si>
    <t>STRAIGHT</t>
  </si>
  <si>
    <t>MESH_DATA</t>
  </si>
  <si>
    <t>MHA 25 G35</t>
  </si>
  <si>
    <t>Resumen de muros</t>
  </si>
  <si>
    <t>Xi (m)</t>
  </si>
  <si>
    <t>Yi (m)</t>
  </si>
  <si>
    <t>Xf (m)</t>
  </si>
  <si>
    <t>Yf (m)</t>
  </si>
  <si>
    <t>Largo (m)</t>
  </si>
  <si>
    <t>Espesor (m)</t>
  </si>
  <si>
    <t>Orientación</t>
  </si>
  <si>
    <t>P5G</t>
  </si>
  <si>
    <t>Largo seg (m)</t>
  </si>
  <si>
    <t># segm.</t>
  </si>
  <si>
    <t>|dX| seg</t>
  </si>
  <si>
    <t>|dY| seg</t>
  </si>
  <si>
    <t>Column</t>
  </si>
  <si>
    <t>Unique Name</t>
  </si>
  <si>
    <t>Station</t>
  </si>
  <si>
    <t>m</t>
  </si>
  <si>
    <t>Element</t>
  </si>
  <si>
    <t>Elem Station</t>
  </si>
  <si>
    <t>C7</t>
  </si>
  <si>
    <t>C8</t>
  </si>
  <si>
    <t>C9</t>
  </si>
  <si>
    <t>XI</t>
  </si>
  <si>
    <t>YI</t>
  </si>
  <si>
    <t>DZI</t>
  </si>
  <si>
    <t>BELOWI</t>
  </si>
  <si>
    <t>XJ</t>
  </si>
  <si>
    <t>YJ</t>
  </si>
  <si>
    <t>DZJ</t>
  </si>
  <si>
    <t>BELOWJCurve Type</t>
  </si>
  <si>
    <t>Curve Points</t>
  </si>
  <si>
    <t>Curve X</t>
  </si>
  <si>
    <t>Curve Y</t>
  </si>
  <si>
    <t>Curve Z</t>
  </si>
  <si>
    <t>...</t>
  </si>
  <si>
    <t>C30x50 G35</t>
  </si>
  <si>
    <t>Resumen V2 / M3 / P por Columna y Caso</t>
  </si>
  <si>
    <t>Col</t>
  </si>
  <si>
    <t>Resumen de columnas</t>
  </si>
  <si>
    <t>Columna</t>
  </si>
  <si>
    <t>DZ (m)</t>
  </si>
  <si>
    <t>bx (m)</t>
  </si>
  <si>
    <t>by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</si>
</sst>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(0.00\);\-"/>
    <numFmt numFmtId="165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164" fontId="0" fillId="0" borderId="1" xfId="0" applyNumberFormat="1" applyBorder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8" fillId="6" borderId="0" xfId="0" applyFont="1" applyFill="1"/>
    <xf numFmtId="0" fontId="6" fillId="7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2" fontId="0" fillId="0" borderId="0" xfId="0" applyNumberFormat="1"/>
    <xf numFmtId="0" fontId="0" fillId="0" borderId="0" xfId="0" applyFont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6</xdr:row>
      <xdr:rowOff>68580</xdr:rowOff>
    </xdr:from>
    <xdr:to>
      <xdr:col>15</xdr:col>
      <xdr:colOff>627475</xdr:colOff>
      <xdr:row>32</xdr:row>
      <xdr:rowOff>181654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1532A5-D6F4-2922-0483-A714CAF9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1240" y="1203960"/>
          <a:ext cx="5229955" cy="4867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18</xdr:col>
      <xdr:colOff>314901</xdr:colOff>
      <xdr:row>21</xdr:row>
      <xdr:rowOff>143491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C14BB5-503A-044D-4443-1E63FA0B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182880"/>
          <a:ext cx="4124901" cy="44106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320040</xdr:colOff>
      <xdr:row>0</xdr:row>
      <xdr:rowOff>60960</xdr:rowOff>
    </xdr:from>
    <xdr:to>
      <xdr:col>17</xdr:col>
      <xdr:colOff>299592</xdr:colOff>
      <xdr:row>24</xdr:row>
      <xdr:rowOff>149300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969233-4C58-8917-1729-714F95ED7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2280" y="60960"/>
          <a:ext cx="3629532" cy="5087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16</xdr:col>
      <xdr:colOff>47898</xdr:colOff>
      <xdr:row>20</xdr:row>
      <xdr:rowOff>50107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8A2F0-794E-A16A-ABDB-156216239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182880"/>
          <a:ext cx="1952898" cy="41344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17</xdr:col>
      <xdr:colOff>38504</xdr:colOff>
      <xdr:row>6</xdr:row>
      <xdr:rowOff>152634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F38A8F-1AAD-7925-4985-30938623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182880"/>
          <a:ext cx="2896004" cy="16766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17</xdr:col>
      <xdr:colOff>124241</xdr:colOff>
      <xdr:row>4</xdr:row>
      <xdr:rowOff>156393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5ABFBD-E47C-C6D5-227A-0EA83E3F5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182880"/>
          <a:ext cx="2981741" cy="13146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17</xdr:col>
      <xdr:colOff>581505</xdr:colOff>
      <xdr:row>10</xdr:row>
      <xdr:rowOff>40325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1679CD-E644-9CEC-4096-03554BBC9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4720" y="182880"/>
          <a:ext cx="3439005" cy="22958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2</xdr:row>
      <xdr:rowOff>60960</xdr:rowOff>
    </xdr:from>
    <xdr:to>
      <xdr:col>17</xdr:col>
      <xdr:colOff>505369</xdr:colOff>
      <xdr:row>17</xdr:row>
      <xdr:rowOff>89922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1859E8-2363-49E5-AA21-19FB81D5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1320" y="426720"/>
          <a:ext cx="3896269" cy="27721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15</xdr:row>
      <xdr:rowOff>45720</xdr:rowOff>
    </xdr:from>
    <xdr:to>
      <xdr:col>19</xdr:col>
      <xdr:colOff>495885</xdr:colOff>
      <xdr:row>31</xdr:row>
      <xdr:rowOff>46156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3E59DB-CD3F-841F-A461-C635C8AD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" y="3200400"/>
          <a:ext cx="4191585" cy="2926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802A6B-0C92-4DE4-8B82-0046C9D269A4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a9b8fbaa-2055-49b5-a55f-776efe3f05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029B-A993-4989-9953-995A028F10CB}">
  <dimension ref="A1:I123"/>
  <sheetViews>
    <sheetView workbookViewId="0">
      <pane ySplit="3" topLeftCell="A103" activePane="bottomLeft" state="frozen"/>
      <selection pane="bottomLeft" activeCell="J119" sqref="J119"/>
    </sheetView>
  </sheetViews>
  <sheetFormatPr baseColWidth="10" defaultRowHeight="14.4" x14ac:dyDescent="0.3"/>
  <cols>
    <col min="1" max="1" width="24.109375" customWidth="1"/>
    <col min="2" max="2" width="13" customWidth="1"/>
    <col min="3" max="3" width="16.6640625" customWidth="1"/>
    <col min="4" max="9" width="14.77734375" customWidth="1"/>
  </cols>
  <sheetData>
    <row r="1" spans="1:9" ht="17.399999999999999" x14ac:dyDescent="0.35">
      <c r="A1" s="12" t="s">
        <v>60</v>
      </c>
    </row>
    <row r="2" spans="1:9" x14ac:dyDescent="0.3">
      <c r="A2" s="13" t="s">
        <v>62</v>
      </c>
      <c r="B2" s="13" t="s">
        <v>0</v>
      </c>
      <c r="C2" s="13" t="s">
        <v>1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</row>
    <row r="3" spans="1:9" x14ac:dyDescent="0.3">
      <c r="A3" s="10"/>
      <c r="B3" s="10"/>
      <c r="C3" s="10"/>
      <c r="D3" s="10" t="s">
        <v>6</v>
      </c>
      <c r="E3" s="10" t="s">
        <v>6</v>
      </c>
      <c r="F3" s="10" t="s">
        <v>10</v>
      </c>
      <c r="G3" s="10" t="s">
        <v>10</v>
      </c>
      <c r="H3" s="10" t="s">
        <v>6</v>
      </c>
      <c r="I3" s="10" t="s">
        <v>6</v>
      </c>
    </row>
    <row r="4" spans="1:9" x14ac:dyDescent="0.3">
      <c r="A4" s="14" t="s">
        <v>61</v>
      </c>
      <c r="B4" s="14" t="s">
        <v>34</v>
      </c>
      <c r="C4" s="14" t="s">
        <v>14</v>
      </c>
      <c r="D4" s="15">
        <f>_xlfn.MAXIFS('MURO PERIMETRAL'!$I$4:$I$173,'MURO PERIMETRAL'!$C$4:$C$173,$B4,'MURO PERIMETRAL'!$D$4:$D$173,$C4)</f>
        <v>90.757999999999996</v>
      </c>
      <c r="E4" s="15">
        <f>_xlfn.MINIFS('MURO PERIMETRAL'!$I$4:$I$173,'MURO PERIMETRAL'!$C$4:$C$173,$B4,'MURO PERIMETRAL'!$D$4:$D$173,$C4)</f>
        <v>90.757999999999996</v>
      </c>
      <c r="F4" s="15">
        <f>_xlfn.MAXIFS('MURO PERIMETRAL'!$M$4:$M$173,'MURO PERIMETRAL'!$C$4:$C$173,$B4,'MURO PERIMETRAL'!$D$4:$D$173,$C4)</f>
        <v>310.25200000000001</v>
      </c>
      <c r="G4" s="15">
        <f>_xlfn.MINIFS('MURO PERIMETRAL'!$M$4:$M$173,'MURO PERIMETRAL'!$C$4:$C$173,$B4,'MURO PERIMETRAL'!$D$4:$D$173,$C4)</f>
        <v>74.281099999999995</v>
      </c>
      <c r="H4" s="15">
        <f>_xlfn.MAXIFS('MURO PERIMETRAL'!$H$4:$H$173,'MURO PERIMETRAL'!$C$4:$C$173,$B4,'MURO PERIMETRAL'!$D$4:$D$173,$C4)</f>
        <v>-41.525599999999997</v>
      </c>
      <c r="I4" s="15">
        <f>_xlfn.MINIFS('MURO PERIMETRAL'!$H$4:$H$173,'MURO PERIMETRAL'!$C$4:$C$173,$B4,'MURO PERIMETRAL'!$D$4:$D$173,$C4)</f>
        <v>-103.20059999999999</v>
      </c>
    </row>
    <row r="5" spans="1:9" x14ac:dyDescent="0.3">
      <c r="A5" s="14" t="s">
        <v>61</v>
      </c>
      <c r="B5" s="14" t="s">
        <v>34</v>
      </c>
      <c r="C5" s="14" t="s">
        <v>18</v>
      </c>
      <c r="D5" s="15">
        <f>_xlfn.MAXIFS('MURO PERIMETRAL'!$I$4:$I$173,'MURO PERIMETRAL'!$C$4:$C$173,$B5,'MURO PERIMETRAL'!$D$4:$D$173,$C5)</f>
        <v>80.931700000000006</v>
      </c>
      <c r="E5" s="15">
        <f>_xlfn.MINIFS('MURO PERIMETRAL'!$I$4:$I$173,'MURO PERIMETRAL'!$C$4:$C$173,$B5,'MURO PERIMETRAL'!$D$4:$D$173,$C5)</f>
        <v>80.931700000000006</v>
      </c>
      <c r="F5" s="15">
        <f>_xlfn.MAXIFS('MURO PERIMETRAL'!$M$4:$M$173,'MURO PERIMETRAL'!$C$4:$C$173,$B5,'MURO PERIMETRAL'!$D$4:$D$173,$C5)</f>
        <v>294.53989999999999</v>
      </c>
      <c r="G5" s="15">
        <f>_xlfn.MINIFS('MURO PERIMETRAL'!$M$4:$M$173,'MURO PERIMETRAL'!$C$4:$C$173,$B5,'MURO PERIMETRAL'!$D$4:$D$173,$C5)</f>
        <v>84.117500000000007</v>
      </c>
      <c r="H5" s="15">
        <f>_xlfn.MAXIFS('MURO PERIMETRAL'!$H$4:$H$173,'MURO PERIMETRAL'!$C$4:$C$173,$B5,'MURO PERIMETRAL'!$D$4:$D$173,$C5)</f>
        <v>-39.1494</v>
      </c>
      <c r="I5" s="15">
        <f>_xlfn.MINIFS('MURO PERIMETRAL'!$H$4:$H$173,'MURO PERIMETRAL'!$C$4:$C$173,$B5,'MURO PERIMETRAL'!$D$4:$D$173,$C5)</f>
        <v>-39.1494</v>
      </c>
    </row>
    <row r="6" spans="1:9" x14ac:dyDescent="0.3">
      <c r="A6" s="14" t="s">
        <v>61</v>
      </c>
      <c r="B6" s="14" t="s">
        <v>34</v>
      </c>
      <c r="C6" s="14" t="s">
        <v>19</v>
      </c>
      <c r="D6" s="15">
        <f>_xlfn.MAXIFS('MURO PERIMETRAL'!$I$4:$I$173,'MURO PERIMETRAL'!$C$4:$C$173,$B6,'MURO PERIMETRAL'!$D$4:$D$173,$C6)</f>
        <v>105.40089999999999</v>
      </c>
      <c r="E6" s="15">
        <f>_xlfn.MINIFS('MURO PERIMETRAL'!$I$4:$I$173,'MURO PERIMETRAL'!$C$4:$C$173,$B6,'MURO PERIMETRAL'!$D$4:$D$173,$C6)</f>
        <v>105.40089999999999</v>
      </c>
      <c r="F6" s="15">
        <f>_xlfn.MAXIFS('MURO PERIMETRAL'!$M$4:$M$173,'MURO PERIMETRAL'!$C$4:$C$173,$B6,'MURO PERIMETRAL'!$D$4:$D$173,$C6)</f>
        <v>294.39049999999997</v>
      </c>
      <c r="G6" s="15">
        <f>_xlfn.MINIFS('MURO PERIMETRAL'!$M$4:$M$173,'MURO PERIMETRAL'!$C$4:$C$173,$B6,'MURO PERIMETRAL'!$D$4:$D$173,$C6)</f>
        <v>87.946200000000005</v>
      </c>
      <c r="H6" s="15">
        <f>_xlfn.MAXIFS('MURO PERIMETRAL'!$H$4:$H$173,'MURO PERIMETRAL'!$C$4:$C$173,$B6,'MURO PERIMETRAL'!$D$4:$D$173,$C6)</f>
        <v>5.0861999999999998</v>
      </c>
      <c r="I6" s="15">
        <f>_xlfn.MINIFS('MURO PERIMETRAL'!$H$4:$H$173,'MURO PERIMETRAL'!$C$4:$C$173,$B6,'MURO PERIMETRAL'!$D$4:$D$173,$C6)</f>
        <v>5.0861999999999998</v>
      </c>
    </row>
    <row r="7" spans="1:9" x14ac:dyDescent="0.3">
      <c r="A7" s="14" t="s">
        <v>61</v>
      </c>
      <c r="B7" s="14" t="s">
        <v>34</v>
      </c>
      <c r="C7" s="14" t="s">
        <v>22</v>
      </c>
      <c r="D7" s="15">
        <f>_xlfn.MAXIFS('MURO PERIMETRAL'!$I$4:$I$173,'MURO PERIMETRAL'!$C$4:$C$173,$B7,'MURO PERIMETRAL'!$D$4:$D$173,$C7)</f>
        <v>210.36680000000001</v>
      </c>
      <c r="E7" s="15">
        <f>_xlfn.MINIFS('MURO PERIMETRAL'!$I$4:$I$173,'MURO PERIMETRAL'!$C$4:$C$173,$B7,'MURO PERIMETRAL'!$D$4:$D$173,$C7)</f>
        <v>210.36680000000001</v>
      </c>
      <c r="F7" s="15">
        <f>_xlfn.MAXIFS('MURO PERIMETRAL'!$M$4:$M$173,'MURO PERIMETRAL'!$C$4:$C$173,$B7,'MURO PERIMETRAL'!$D$4:$D$173,$C7)</f>
        <v>403.96660000000003</v>
      </c>
      <c r="G7" s="15">
        <f>_xlfn.MINIFS('MURO PERIMETRAL'!$M$4:$M$173,'MURO PERIMETRAL'!$C$4:$C$173,$B7,'MURO PERIMETRAL'!$D$4:$D$173,$C7)</f>
        <v>143.82210000000001</v>
      </c>
      <c r="H7" s="15">
        <f>_xlfn.MAXIFS('MURO PERIMETRAL'!$H$4:$H$173,'MURO PERIMETRAL'!$C$4:$C$173,$B7,'MURO PERIMETRAL'!$D$4:$D$173,$C7)</f>
        <v>5.5206999999999997</v>
      </c>
      <c r="I7" s="15">
        <f>_xlfn.MINIFS('MURO PERIMETRAL'!$H$4:$H$173,'MURO PERIMETRAL'!$C$4:$C$173,$B7,'MURO PERIMETRAL'!$D$4:$D$173,$C7)</f>
        <v>5.5206999999999997</v>
      </c>
    </row>
    <row r="8" spans="1:9" x14ac:dyDescent="0.3">
      <c r="A8" s="14" t="s">
        <v>61</v>
      </c>
      <c r="B8" s="14" t="s">
        <v>13</v>
      </c>
      <c r="C8" s="14" t="s">
        <v>14</v>
      </c>
      <c r="D8" s="15">
        <f>_xlfn.MAXIFS('MURO PERIMETRAL'!$I$4:$I$173,'MURO PERIMETRAL'!$C$4:$C$173,$B8,'MURO PERIMETRAL'!$D$4:$D$173,$C8)</f>
        <v>-21.5459</v>
      </c>
      <c r="E8" s="15">
        <f>_xlfn.MINIFS('MURO PERIMETRAL'!$I$4:$I$173,'MURO PERIMETRAL'!$C$4:$C$173,$B8,'MURO PERIMETRAL'!$D$4:$D$173,$C8)</f>
        <v>-21.5459</v>
      </c>
      <c r="F8" s="15">
        <f>_xlfn.MAXIFS('MURO PERIMETRAL'!$M$4:$M$173,'MURO PERIMETRAL'!$C$4:$C$173,$B8,'MURO PERIMETRAL'!$D$4:$D$173,$C8)</f>
        <v>27.376200000000001</v>
      </c>
      <c r="G8" s="15">
        <f>_xlfn.MINIFS('MURO PERIMETRAL'!$M$4:$M$173,'MURO PERIMETRAL'!$C$4:$C$173,$B8,'MURO PERIMETRAL'!$D$4:$D$173,$C8)</f>
        <v>-28.6432</v>
      </c>
      <c r="H8" s="15">
        <f>_xlfn.MAXIFS('MURO PERIMETRAL'!$H$4:$H$173,'MURO PERIMETRAL'!$C$4:$C$173,$B8,'MURO PERIMETRAL'!$D$4:$D$173,$C8)</f>
        <v>-36.7532</v>
      </c>
      <c r="I8" s="15">
        <f>_xlfn.MINIFS('MURO PERIMETRAL'!$H$4:$H$173,'MURO PERIMETRAL'!$C$4:$C$173,$B8,'MURO PERIMETRAL'!$D$4:$D$173,$C8)</f>
        <v>-70.813199999999995</v>
      </c>
    </row>
    <row r="9" spans="1:9" x14ac:dyDescent="0.3">
      <c r="A9" s="14" t="s">
        <v>61</v>
      </c>
      <c r="B9" s="14" t="s">
        <v>13</v>
      </c>
      <c r="C9" s="14" t="s">
        <v>18</v>
      </c>
      <c r="D9" s="15">
        <f>_xlfn.MAXIFS('MURO PERIMETRAL'!$I$4:$I$173,'MURO PERIMETRAL'!$C$4:$C$173,$B9,'MURO PERIMETRAL'!$D$4:$D$173,$C9)</f>
        <v>-23.470500000000001</v>
      </c>
      <c r="E9" s="15">
        <f>_xlfn.MINIFS('MURO PERIMETRAL'!$I$4:$I$173,'MURO PERIMETRAL'!$C$4:$C$173,$B9,'MURO PERIMETRAL'!$D$4:$D$173,$C9)</f>
        <v>-23.470500000000001</v>
      </c>
      <c r="F9" s="15">
        <f>_xlfn.MAXIFS('MURO PERIMETRAL'!$M$4:$M$173,'MURO PERIMETRAL'!$C$4:$C$173,$B9,'MURO PERIMETRAL'!$D$4:$D$173,$C9)</f>
        <v>28.663699999999999</v>
      </c>
      <c r="G9" s="15">
        <f>_xlfn.MINIFS('MURO PERIMETRAL'!$M$4:$M$173,'MURO PERIMETRAL'!$C$4:$C$173,$B9,'MURO PERIMETRAL'!$D$4:$D$173,$C9)</f>
        <v>-32.359499999999997</v>
      </c>
      <c r="H9" s="15">
        <f>_xlfn.MAXIFS('MURO PERIMETRAL'!$H$4:$H$173,'MURO PERIMETRAL'!$C$4:$C$173,$B9,'MURO PERIMETRAL'!$D$4:$D$173,$C9)</f>
        <v>-35.107500000000002</v>
      </c>
      <c r="I9" s="15">
        <f>_xlfn.MINIFS('MURO PERIMETRAL'!$H$4:$H$173,'MURO PERIMETRAL'!$C$4:$C$173,$B9,'MURO PERIMETRAL'!$D$4:$D$173,$C9)</f>
        <v>-35.107500000000002</v>
      </c>
    </row>
    <row r="10" spans="1:9" x14ac:dyDescent="0.3">
      <c r="A10" s="14" t="s">
        <v>61</v>
      </c>
      <c r="B10" s="14" t="s">
        <v>13</v>
      </c>
      <c r="C10" s="14" t="s">
        <v>19</v>
      </c>
      <c r="D10" s="15">
        <f>_xlfn.MAXIFS('MURO PERIMETRAL'!$I$4:$I$173,'MURO PERIMETRAL'!$C$4:$C$173,$B10,'MURO PERIMETRAL'!$D$4:$D$173,$C10)</f>
        <v>156.93260000000001</v>
      </c>
      <c r="E10" s="15">
        <f>_xlfn.MINIFS('MURO PERIMETRAL'!$I$4:$I$173,'MURO PERIMETRAL'!$C$4:$C$173,$B10,'MURO PERIMETRAL'!$D$4:$D$173,$C10)</f>
        <v>156.93260000000001</v>
      </c>
      <c r="F10" s="15">
        <f>_xlfn.MAXIFS('MURO PERIMETRAL'!$M$4:$M$173,'MURO PERIMETRAL'!$C$4:$C$173,$B10,'MURO PERIMETRAL'!$D$4:$D$173,$C10)</f>
        <v>273.4855</v>
      </c>
      <c r="G10" s="15">
        <f>_xlfn.MINIFS('MURO PERIMETRAL'!$M$4:$M$173,'MURO PERIMETRAL'!$C$4:$C$173,$B10,'MURO PERIMETRAL'!$D$4:$D$173,$C10)</f>
        <v>134.77119999999999</v>
      </c>
      <c r="H10" s="15">
        <f>_xlfn.MAXIFS('MURO PERIMETRAL'!$H$4:$H$173,'MURO PERIMETRAL'!$C$4:$C$173,$B10,'MURO PERIMETRAL'!$D$4:$D$173,$C10)</f>
        <v>3.1063999999999998</v>
      </c>
      <c r="I10" s="15">
        <f>_xlfn.MINIFS('MURO PERIMETRAL'!$H$4:$H$173,'MURO PERIMETRAL'!$C$4:$C$173,$B10,'MURO PERIMETRAL'!$D$4:$D$173,$C10)</f>
        <v>3.1063999999999998</v>
      </c>
    </row>
    <row r="11" spans="1:9" x14ac:dyDescent="0.3">
      <c r="A11" s="14" t="s">
        <v>61</v>
      </c>
      <c r="B11" s="14" t="s">
        <v>13</v>
      </c>
      <c r="C11" s="14" t="s">
        <v>22</v>
      </c>
      <c r="D11" s="15">
        <f>_xlfn.MAXIFS('MURO PERIMETRAL'!$I$4:$I$173,'MURO PERIMETRAL'!$C$4:$C$173,$B11,'MURO PERIMETRAL'!$D$4:$D$173,$C11)</f>
        <v>34.633800000000001</v>
      </c>
      <c r="E11" s="15">
        <f>_xlfn.MINIFS('MURO PERIMETRAL'!$I$4:$I$173,'MURO PERIMETRAL'!$C$4:$C$173,$B11,'MURO PERIMETRAL'!$D$4:$D$173,$C11)</f>
        <v>34.633800000000001</v>
      </c>
      <c r="F11" s="15">
        <f>_xlfn.MAXIFS('MURO PERIMETRAL'!$M$4:$M$173,'MURO PERIMETRAL'!$C$4:$C$173,$B11,'MURO PERIMETRAL'!$D$4:$D$173,$C11)</f>
        <v>68.273499999999999</v>
      </c>
      <c r="G11" s="15">
        <f>_xlfn.MINIFS('MURO PERIMETRAL'!$M$4:$M$173,'MURO PERIMETRAL'!$C$4:$C$173,$B11,'MURO PERIMETRAL'!$D$4:$D$173,$C11)</f>
        <v>34.488999999999997</v>
      </c>
      <c r="H11" s="15">
        <f>_xlfn.MAXIFS('MURO PERIMETRAL'!$H$4:$H$173,'MURO PERIMETRAL'!$C$4:$C$173,$B11,'MURO PERIMETRAL'!$D$4:$D$173,$C11)</f>
        <v>12.2056</v>
      </c>
      <c r="I11" s="15">
        <f>_xlfn.MINIFS('MURO PERIMETRAL'!$H$4:$H$173,'MURO PERIMETRAL'!$C$4:$C$173,$B11,'MURO PERIMETRAL'!$D$4:$D$173,$C11)</f>
        <v>12.2056</v>
      </c>
    </row>
    <row r="12" spans="1:9" x14ac:dyDescent="0.3">
      <c r="A12" s="14" t="s">
        <v>61</v>
      </c>
      <c r="B12" s="14" t="s">
        <v>35</v>
      </c>
      <c r="C12" s="14" t="s">
        <v>14</v>
      </c>
      <c r="D12" s="15">
        <f>_xlfn.MAXIFS('MURO PERIMETRAL'!$I$4:$I$173,'MURO PERIMETRAL'!$C$4:$C$173,$B12,'MURO PERIMETRAL'!$D$4:$D$173,$C12)</f>
        <v>-19.941400000000002</v>
      </c>
      <c r="E12" s="15">
        <f>_xlfn.MINIFS('MURO PERIMETRAL'!$I$4:$I$173,'MURO PERIMETRAL'!$C$4:$C$173,$B12,'MURO PERIMETRAL'!$D$4:$D$173,$C12)</f>
        <v>-19.941400000000002</v>
      </c>
      <c r="F12" s="15">
        <f>_xlfn.MAXIFS('MURO PERIMETRAL'!$M$4:$M$173,'MURO PERIMETRAL'!$C$4:$C$173,$B12,'MURO PERIMETRAL'!$D$4:$D$173,$C12)</f>
        <v>52.625500000000002</v>
      </c>
      <c r="G12" s="15">
        <f>_xlfn.MINIFS('MURO PERIMETRAL'!$M$4:$M$173,'MURO PERIMETRAL'!$C$4:$C$173,$B12,'MURO PERIMETRAL'!$D$4:$D$173,$C12)</f>
        <v>0.77790000000000004</v>
      </c>
      <c r="H12" s="15">
        <f>_xlfn.MAXIFS('MURO PERIMETRAL'!$H$4:$H$173,'MURO PERIMETRAL'!$C$4:$C$173,$B12,'MURO PERIMETRAL'!$D$4:$D$173,$C12)</f>
        <v>-39.374899999999997</v>
      </c>
      <c r="I12" s="15">
        <f>_xlfn.MINIFS('MURO PERIMETRAL'!$H$4:$H$173,'MURO PERIMETRAL'!$C$4:$C$173,$B12,'MURO PERIMETRAL'!$D$4:$D$173,$C12)</f>
        <v>-78.660899999999998</v>
      </c>
    </row>
    <row r="13" spans="1:9" x14ac:dyDescent="0.3">
      <c r="A13" s="14" t="s">
        <v>61</v>
      </c>
      <c r="B13" s="14" t="s">
        <v>35</v>
      </c>
      <c r="C13" s="14" t="s">
        <v>18</v>
      </c>
      <c r="D13" s="15">
        <f>_xlfn.MAXIFS('MURO PERIMETRAL'!$I$4:$I$173,'MURO PERIMETRAL'!$C$4:$C$173,$B13,'MURO PERIMETRAL'!$D$4:$D$173,$C13)</f>
        <v>-11.4693</v>
      </c>
      <c r="E13" s="15">
        <f>_xlfn.MINIFS('MURO PERIMETRAL'!$I$4:$I$173,'MURO PERIMETRAL'!$C$4:$C$173,$B13,'MURO PERIMETRAL'!$D$4:$D$173,$C13)</f>
        <v>-11.4693</v>
      </c>
      <c r="F13" s="15">
        <f>_xlfn.MAXIFS('MURO PERIMETRAL'!$M$4:$M$173,'MURO PERIMETRAL'!$C$4:$C$173,$B13,'MURO PERIMETRAL'!$D$4:$D$173,$C13)</f>
        <v>36.271299999999997</v>
      </c>
      <c r="G13" s="15">
        <f>_xlfn.MINIFS('MURO PERIMETRAL'!$M$4:$M$173,'MURO PERIMETRAL'!$C$4:$C$173,$B13,'MURO PERIMETRAL'!$D$4:$D$173,$C13)</f>
        <v>6.4511000000000003</v>
      </c>
      <c r="H13" s="15">
        <f>_xlfn.MAXIFS('MURO PERIMETRAL'!$H$4:$H$173,'MURO PERIMETRAL'!$C$4:$C$173,$B13,'MURO PERIMETRAL'!$D$4:$D$173,$C13)</f>
        <v>-38.273400000000002</v>
      </c>
      <c r="I13" s="15">
        <f>_xlfn.MINIFS('MURO PERIMETRAL'!$H$4:$H$173,'MURO PERIMETRAL'!$C$4:$C$173,$B13,'MURO PERIMETRAL'!$D$4:$D$173,$C13)</f>
        <v>-38.273400000000002</v>
      </c>
    </row>
    <row r="14" spans="1:9" x14ac:dyDescent="0.3">
      <c r="A14" s="14" t="s">
        <v>61</v>
      </c>
      <c r="B14" s="14" t="s">
        <v>35</v>
      </c>
      <c r="C14" s="14" t="s">
        <v>19</v>
      </c>
      <c r="D14" s="15">
        <f>_xlfn.MAXIFS('MURO PERIMETRAL'!$I$4:$I$173,'MURO PERIMETRAL'!$C$4:$C$173,$B14,'MURO PERIMETRAL'!$D$4:$D$173,$C14)</f>
        <v>77.866600000000005</v>
      </c>
      <c r="E14" s="15">
        <f>_xlfn.MINIFS('MURO PERIMETRAL'!$I$4:$I$173,'MURO PERIMETRAL'!$C$4:$C$173,$B14,'MURO PERIMETRAL'!$D$4:$D$173,$C14)</f>
        <v>77.866600000000005</v>
      </c>
      <c r="F14" s="15">
        <f>_xlfn.MAXIFS('MURO PERIMETRAL'!$M$4:$M$173,'MURO PERIMETRAL'!$C$4:$C$173,$B14,'MURO PERIMETRAL'!$D$4:$D$173,$C14)</f>
        <v>147.5598</v>
      </c>
      <c r="G14" s="15">
        <f>_xlfn.MINIFS('MURO PERIMETRAL'!$M$4:$M$173,'MURO PERIMETRAL'!$C$4:$C$173,$B14,'MURO PERIMETRAL'!$D$4:$D$173,$C14)</f>
        <v>57.896500000000003</v>
      </c>
      <c r="H14" s="15">
        <f>_xlfn.MAXIFS('MURO PERIMETRAL'!$H$4:$H$173,'MURO PERIMETRAL'!$C$4:$C$173,$B14,'MURO PERIMETRAL'!$D$4:$D$173,$C14)</f>
        <v>21.565000000000001</v>
      </c>
      <c r="I14" s="15">
        <f>_xlfn.MINIFS('MURO PERIMETRAL'!$H$4:$H$173,'MURO PERIMETRAL'!$C$4:$C$173,$B14,'MURO PERIMETRAL'!$D$4:$D$173,$C14)</f>
        <v>21.565000000000001</v>
      </c>
    </row>
    <row r="15" spans="1:9" x14ac:dyDescent="0.3">
      <c r="A15" s="14" t="s">
        <v>61</v>
      </c>
      <c r="B15" s="14" t="s">
        <v>35</v>
      </c>
      <c r="C15" s="14" t="s">
        <v>22</v>
      </c>
      <c r="D15" s="15">
        <f>_xlfn.MAXIFS('MURO PERIMETRAL'!$I$4:$I$173,'MURO PERIMETRAL'!$C$4:$C$173,$B15,'MURO PERIMETRAL'!$D$4:$D$173,$C15)</f>
        <v>190.22909999999999</v>
      </c>
      <c r="E15" s="15">
        <f>_xlfn.MINIFS('MURO PERIMETRAL'!$I$4:$I$173,'MURO PERIMETRAL'!$C$4:$C$173,$B15,'MURO PERIMETRAL'!$D$4:$D$173,$C15)</f>
        <v>190.22909999999999</v>
      </c>
      <c r="F15" s="15">
        <f>_xlfn.MAXIFS('MURO PERIMETRAL'!$M$4:$M$173,'MURO PERIMETRAL'!$C$4:$C$173,$B15,'MURO PERIMETRAL'!$D$4:$D$173,$C15)</f>
        <v>401.17939999999999</v>
      </c>
      <c r="G15" s="15">
        <f>_xlfn.MINIFS('MURO PERIMETRAL'!$M$4:$M$173,'MURO PERIMETRAL'!$C$4:$C$173,$B15,'MURO PERIMETRAL'!$D$4:$D$173,$C15)</f>
        <v>93.479600000000005</v>
      </c>
      <c r="H15" s="15">
        <f>_xlfn.MAXIFS('MURO PERIMETRAL'!$H$4:$H$173,'MURO PERIMETRAL'!$C$4:$C$173,$B15,'MURO PERIMETRAL'!$D$4:$D$173,$C15)</f>
        <v>7.6820000000000004</v>
      </c>
      <c r="I15" s="15">
        <f>_xlfn.MINIFS('MURO PERIMETRAL'!$H$4:$H$173,'MURO PERIMETRAL'!$C$4:$C$173,$B15,'MURO PERIMETRAL'!$D$4:$D$173,$C15)</f>
        <v>7.6820000000000004</v>
      </c>
    </row>
    <row r="16" spans="1:9" x14ac:dyDescent="0.3">
      <c r="A16" s="14" t="s">
        <v>61</v>
      </c>
      <c r="B16" s="14" t="s">
        <v>36</v>
      </c>
      <c r="C16" s="14" t="s">
        <v>14</v>
      </c>
      <c r="D16" s="15">
        <f>_xlfn.MAXIFS('MURO PERIMETRAL'!$I$4:$I$173,'MURO PERIMETRAL'!$C$4:$C$173,$B16,'MURO PERIMETRAL'!$D$4:$D$173,$C16)</f>
        <v>4.8445</v>
      </c>
      <c r="E16" s="15">
        <f>_xlfn.MINIFS('MURO PERIMETRAL'!$I$4:$I$173,'MURO PERIMETRAL'!$C$4:$C$173,$B16,'MURO PERIMETRAL'!$D$4:$D$173,$C16)</f>
        <v>4.8445</v>
      </c>
      <c r="F16" s="15">
        <f>_xlfn.MAXIFS('MURO PERIMETRAL'!$M$4:$M$173,'MURO PERIMETRAL'!$C$4:$C$173,$B16,'MURO PERIMETRAL'!$D$4:$D$173,$C16)</f>
        <v>0.19009999999999999</v>
      </c>
      <c r="G16" s="15">
        <f>_xlfn.MINIFS('MURO PERIMETRAL'!$M$4:$M$173,'MURO PERIMETRAL'!$C$4:$C$173,$B16,'MURO PERIMETRAL'!$D$4:$D$173,$C16)</f>
        <v>-12.4054</v>
      </c>
      <c r="H16" s="15">
        <f>_xlfn.MAXIFS('MURO PERIMETRAL'!$H$4:$H$173,'MURO PERIMETRAL'!$C$4:$C$173,$B16,'MURO PERIMETRAL'!$D$4:$D$173,$C16)</f>
        <v>-11.7676</v>
      </c>
      <c r="I16" s="15">
        <f>_xlfn.MINIFS('MURO PERIMETRAL'!$H$4:$H$173,'MURO PERIMETRAL'!$C$4:$C$173,$B16,'MURO PERIMETRAL'!$D$4:$D$173,$C16)</f>
        <v>-16.122599999999998</v>
      </c>
    </row>
    <row r="17" spans="1:9" x14ac:dyDescent="0.3">
      <c r="A17" s="14" t="s">
        <v>61</v>
      </c>
      <c r="B17" s="14" t="s">
        <v>36</v>
      </c>
      <c r="C17" s="14" t="s">
        <v>18</v>
      </c>
      <c r="D17" s="15">
        <f>_xlfn.MAXIFS('MURO PERIMETRAL'!$I$4:$I$173,'MURO PERIMETRAL'!$C$4:$C$173,$B17,'MURO PERIMETRAL'!$D$4:$D$173,$C17)</f>
        <v>4.7552000000000003</v>
      </c>
      <c r="E17" s="15">
        <f>_xlfn.MINIFS('MURO PERIMETRAL'!$I$4:$I$173,'MURO PERIMETRAL'!$C$4:$C$173,$B17,'MURO PERIMETRAL'!$D$4:$D$173,$C17)</f>
        <v>4.7552000000000003</v>
      </c>
      <c r="F17" s="15">
        <f>_xlfn.MAXIFS('MURO PERIMETRAL'!$M$4:$M$173,'MURO PERIMETRAL'!$C$4:$C$173,$B17,'MURO PERIMETRAL'!$D$4:$D$173,$C17)</f>
        <v>1.998</v>
      </c>
      <c r="G17" s="15">
        <f>_xlfn.MINIFS('MURO PERIMETRAL'!$M$4:$M$173,'MURO PERIMETRAL'!$C$4:$C$173,$B17,'MURO PERIMETRAL'!$D$4:$D$173,$C17)</f>
        <v>-10.365500000000001</v>
      </c>
      <c r="H17" s="15">
        <f>_xlfn.MAXIFS('MURO PERIMETRAL'!$H$4:$H$173,'MURO PERIMETRAL'!$C$4:$C$173,$B17,'MURO PERIMETRAL'!$D$4:$D$173,$C17)</f>
        <v>-8.4845000000000006</v>
      </c>
      <c r="I17" s="15">
        <f>_xlfn.MINIFS('MURO PERIMETRAL'!$H$4:$H$173,'MURO PERIMETRAL'!$C$4:$C$173,$B17,'MURO PERIMETRAL'!$D$4:$D$173,$C17)</f>
        <v>-8.4845000000000006</v>
      </c>
    </row>
    <row r="18" spans="1:9" x14ac:dyDescent="0.3">
      <c r="A18" s="14" t="s">
        <v>61</v>
      </c>
      <c r="B18" s="14" t="s">
        <v>36</v>
      </c>
      <c r="C18" s="14" t="s">
        <v>19</v>
      </c>
      <c r="D18" s="15">
        <f>_xlfn.MAXIFS('MURO PERIMETRAL'!$I$4:$I$173,'MURO PERIMETRAL'!$C$4:$C$173,$B18,'MURO PERIMETRAL'!$D$4:$D$173,$C18)</f>
        <v>37.222499999999997</v>
      </c>
      <c r="E18" s="15">
        <f>_xlfn.MINIFS('MURO PERIMETRAL'!$I$4:$I$173,'MURO PERIMETRAL'!$C$4:$C$173,$B18,'MURO PERIMETRAL'!$D$4:$D$173,$C18)</f>
        <v>37.222499999999997</v>
      </c>
      <c r="F18" s="15">
        <f>_xlfn.MAXIFS('MURO PERIMETRAL'!$M$4:$M$173,'MURO PERIMETRAL'!$C$4:$C$173,$B18,'MURO PERIMETRAL'!$D$4:$D$173,$C18)</f>
        <v>52.435299999999998</v>
      </c>
      <c r="G18" s="15">
        <f>_xlfn.MINIFS('MURO PERIMETRAL'!$M$4:$M$173,'MURO PERIMETRAL'!$C$4:$C$173,$B18,'MURO PERIMETRAL'!$D$4:$D$173,$C18)</f>
        <v>44.352800000000002</v>
      </c>
      <c r="H18" s="15">
        <f>_xlfn.MAXIFS('MURO PERIMETRAL'!$H$4:$H$173,'MURO PERIMETRAL'!$C$4:$C$173,$B18,'MURO PERIMETRAL'!$D$4:$D$173,$C18)</f>
        <v>2.8755000000000002</v>
      </c>
      <c r="I18" s="15">
        <f>_xlfn.MINIFS('MURO PERIMETRAL'!$H$4:$H$173,'MURO PERIMETRAL'!$C$4:$C$173,$B18,'MURO PERIMETRAL'!$D$4:$D$173,$C18)</f>
        <v>2.8755000000000002</v>
      </c>
    </row>
    <row r="19" spans="1:9" x14ac:dyDescent="0.3">
      <c r="A19" s="14" t="s">
        <v>61</v>
      </c>
      <c r="B19" s="14" t="s">
        <v>36</v>
      </c>
      <c r="C19" s="14" t="s">
        <v>22</v>
      </c>
      <c r="D19" s="15">
        <f>_xlfn.MAXIFS('MURO PERIMETRAL'!$I$4:$I$173,'MURO PERIMETRAL'!$C$4:$C$173,$B19,'MURO PERIMETRAL'!$D$4:$D$173,$C19)</f>
        <v>1.5129999999999999</v>
      </c>
      <c r="E19" s="15">
        <f>_xlfn.MINIFS('MURO PERIMETRAL'!$I$4:$I$173,'MURO PERIMETRAL'!$C$4:$C$173,$B19,'MURO PERIMETRAL'!$D$4:$D$173,$C19)</f>
        <v>1.5129999999999999</v>
      </c>
      <c r="F19" s="15">
        <f>_xlfn.MAXIFS('MURO PERIMETRAL'!$M$4:$M$173,'MURO PERIMETRAL'!$C$4:$C$173,$B19,'MURO PERIMETRAL'!$D$4:$D$173,$C19)</f>
        <v>4.9767999999999999</v>
      </c>
      <c r="G19" s="15">
        <f>_xlfn.MINIFS('MURO PERIMETRAL'!$M$4:$M$173,'MURO PERIMETRAL'!$C$4:$C$173,$B19,'MURO PERIMETRAL'!$D$4:$D$173,$C19)</f>
        <v>3.7109000000000001</v>
      </c>
      <c r="H19" s="15">
        <f>_xlfn.MAXIFS('MURO PERIMETRAL'!$H$4:$H$173,'MURO PERIMETRAL'!$C$4:$C$173,$B19,'MURO PERIMETRAL'!$D$4:$D$173,$C19)</f>
        <v>3.2612999999999999</v>
      </c>
      <c r="I19" s="15">
        <f>_xlfn.MINIFS('MURO PERIMETRAL'!$H$4:$H$173,'MURO PERIMETRAL'!$C$4:$C$173,$B19,'MURO PERIMETRAL'!$D$4:$D$173,$C19)</f>
        <v>3.2612999999999999</v>
      </c>
    </row>
    <row r="20" spans="1:9" x14ac:dyDescent="0.3">
      <c r="A20" s="14" t="s">
        <v>61</v>
      </c>
      <c r="B20" s="14" t="s">
        <v>37</v>
      </c>
      <c r="C20" s="14" t="s">
        <v>14</v>
      </c>
      <c r="D20" s="15">
        <f>_xlfn.MAXIFS('MURO PERIMETRAL'!$I$4:$I$173,'MURO PERIMETRAL'!$C$4:$C$173,$B20,'MURO PERIMETRAL'!$D$4:$D$173,$C20)</f>
        <v>-14.301</v>
      </c>
      <c r="E20" s="15">
        <f>_xlfn.MINIFS('MURO PERIMETRAL'!$I$4:$I$173,'MURO PERIMETRAL'!$C$4:$C$173,$B20,'MURO PERIMETRAL'!$D$4:$D$173,$C20)</f>
        <v>-14.301</v>
      </c>
      <c r="F20" s="15">
        <f>_xlfn.MAXIFS('MURO PERIMETRAL'!$M$4:$M$173,'MURO PERIMETRAL'!$C$4:$C$173,$B20,'MURO PERIMETRAL'!$D$4:$D$173,$C20)</f>
        <v>106.985</v>
      </c>
      <c r="G20" s="15">
        <f>_xlfn.MINIFS('MURO PERIMETRAL'!$M$4:$M$173,'MURO PERIMETRAL'!$C$4:$C$173,$B20,'MURO PERIMETRAL'!$D$4:$D$173,$C20)</f>
        <v>69.802400000000006</v>
      </c>
      <c r="H20" s="15">
        <f>_xlfn.MAXIFS('MURO PERIMETRAL'!$H$4:$H$173,'MURO PERIMETRAL'!$C$4:$C$173,$B20,'MURO PERIMETRAL'!$D$4:$D$173,$C20)</f>
        <v>0.1522</v>
      </c>
      <c r="I20" s="15">
        <f>_xlfn.MINIFS('MURO PERIMETRAL'!$H$4:$H$173,'MURO PERIMETRAL'!$C$4:$C$173,$B20,'MURO PERIMETRAL'!$D$4:$D$173,$C20)</f>
        <v>-12.191800000000001</v>
      </c>
    </row>
    <row r="21" spans="1:9" x14ac:dyDescent="0.3">
      <c r="A21" s="14" t="s">
        <v>61</v>
      </c>
      <c r="B21" s="14" t="s">
        <v>37</v>
      </c>
      <c r="C21" s="14" t="s">
        <v>18</v>
      </c>
      <c r="D21" s="15">
        <f>_xlfn.MAXIFS('MURO PERIMETRAL'!$I$4:$I$173,'MURO PERIMETRAL'!$C$4:$C$173,$B21,'MURO PERIMETRAL'!$D$4:$D$173,$C21)</f>
        <v>-8.9324999999999992</v>
      </c>
      <c r="E21" s="15">
        <f>_xlfn.MINIFS('MURO PERIMETRAL'!$I$4:$I$173,'MURO PERIMETRAL'!$C$4:$C$173,$B21,'MURO PERIMETRAL'!$D$4:$D$173,$C21)</f>
        <v>-8.9324999999999992</v>
      </c>
      <c r="F21" s="15">
        <f>_xlfn.MAXIFS('MURO PERIMETRAL'!$M$4:$M$173,'MURO PERIMETRAL'!$C$4:$C$173,$B21,'MURO PERIMETRAL'!$D$4:$D$173,$C21)</f>
        <v>50.361499999999999</v>
      </c>
      <c r="G21" s="15">
        <f>_xlfn.MINIFS('MURO PERIMETRAL'!$M$4:$M$173,'MURO PERIMETRAL'!$C$4:$C$173,$B21,'MURO PERIMETRAL'!$D$4:$D$173,$C21)</f>
        <v>27.136900000000001</v>
      </c>
      <c r="H21" s="15">
        <f>_xlfn.MAXIFS('MURO PERIMETRAL'!$H$4:$H$173,'MURO PERIMETRAL'!$C$4:$C$173,$B21,'MURO PERIMETRAL'!$D$4:$D$173,$C21)</f>
        <v>-13.2324</v>
      </c>
      <c r="I21" s="15">
        <f>_xlfn.MINIFS('MURO PERIMETRAL'!$H$4:$H$173,'MURO PERIMETRAL'!$C$4:$C$173,$B21,'MURO PERIMETRAL'!$D$4:$D$173,$C21)</f>
        <v>-13.2324</v>
      </c>
    </row>
    <row r="22" spans="1:9" x14ac:dyDescent="0.3">
      <c r="A22" s="14" t="s">
        <v>61</v>
      </c>
      <c r="B22" s="14" t="s">
        <v>37</v>
      </c>
      <c r="C22" s="14" t="s">
        <v>19</v>
      </c>
      <c r="D22" s="15">
        <f>_xlfn.MAXIFS('MURO PERIMETRAL'!$I$4:$I$173,'MURO PERIMETRAL'!$C$4:$C$173,$B22,'MURO PERIMETRAL'!$D$4:$D$173,$C22)</f>
        <v>17.286999999999999</v>
      </c>
      <c r="E22" s="15">
        <f>_xlfn.MINIFS('MURO PERIMETRAL'!$I$4:$I$173,'MURO PERIMETRAL'!$C$4:$C$173,$B22,'MURO PERIMETRAL'!$D$4:$D$173,$C22)</f>
        <v>17.286999999999999</v>
      </c>
      <c r="F22" s="15">
        <f>_xlfn.MAXIFS('MURO PERIMETRAL'!$M$4:$M$173,'MURO PERIMETRAL'!$C$4:$C$173,$B22,'MURO PERIMETRAL'!$D$4:$D$173,$C22)</f>
        <v>38.273899999999998</v>
      </c>
      <c r="G22" s="15">
        <f>_xlfn.MINIFS('MURO PERIMETRAL'!$M$4:$M$173,'MURO PERIMETRAL'!$C$4:$C$173,$B22,'MURO PERIMETRAL'!$D$4:$D$173,$C22)</f>
        <v>32.764400000000002</v>
      </c>
      <c r="H22" s="15">
        <f>_xlfn.MAXIFS('MURO PERIMETRAL'!$H$4:$H$173,'MURO PERIMETRAL'!$C$4:$C$173,$B22,'MURO PERIMETRAL'!$D$4:$D$173,$C22)</f>
        <v>20.284800000000001</v>
      </c>
      <c r="I22" s="15">
        <f>_xlfn.MINIFS('MURO PERIMETRAL'!$H$4:$H$173,'MURO PERIMETRAL'!$C$4:$C$173,$B22,'MURO PERIMETRAL'!$D$4:$D$173,$C22)</f>
        <v>20.284800000000001</v>
      </c>
    </row>
    <row r="23" spans="1:9" x14ac:dyDescent="0.3">
      <c r="A23" s="14" t="s">
        <v>61</v>
      </c>
      <c r="B23" s="14" t="s">
        <v>37</v>
      </c>
      <c r="C23" s="14" t="s">
        <v>22</v>
      </c>
      <c r="D23" s="15">
        <f>_xlfn.MAXIFS('MURO PERIMETRAL'!$I$4:$I$173,'MURO PERIMETRAL'!$C$4:$C$173,$B23,'MURO PERIMETRAL'!$D$4:$D$173,$C23)</f>
        <v>58.819499999999998</v>
      </c>
      <c r="E23" s="15">
        <f>_xlfn.MINIFS('MURO PERIMETRAL'!$I$4:$I$173,'MURO PERIMETRAL'!$C$4:$C$173,$B23,'MURO PERIMETRAL'!$D$4:$D$173,$C23)</f>
        <v>58.819499999999998</v>
      </c>
      <c r="F23" s="15">
        <f>_xlfn.MAXIFS('MURO PERIMETRAL'!$M$4:$M$173,'MURO PERIMETRAL'!$C$4:$C$173,$B23,'MURO PERIMETRAL'!$D$4:$D$173,$C23)</f>
        <v>125.3613</v>
      </c>
      <c r="G23" s="15">
        <f>_xlfn.MINIFS('MURO PERIMETRAL'!$M$4:$M$173,'MURO PERIMETRAL'!$C$4:$C$173,$B23,'MURO PERIMETRAL'!$D$4:$D$173,$C23)</f>
        <v>33.695500000000003</v>
      </c>
      <c r="H23" s="15">
        <f>_xlfn.MAXIFS('MURO PERIMETRAL'!$H$4:$H$173,'MURO PERIMETRAL'!$C$4:$C$173,$B23,'MURO PERIMETRAL'!$D$4:$D$173,$C23)</f>
        <v>2.8077999999999999</v>
      </c>
      <c r="I23" s="15">
        <f>_xlfn.MINIFS('MURO PERIMETRAL'!$H$4:$H$173,'MURO PERIMETRAL'!$C$4:$C$173,$B23,'MURO PERIMETRAL'!$D$4:$D$173,$C23)</f>
        <v>2.8077999999999999</v>
      </c>
    </row>
    <row r="24" spans="1:9" x14ac:dyDescent="0.3">
      <c r="A24" s="9">
        <v>2</v>
      </c>
      <c r="B24" s="9" t="s">
        <v>50</v>
      </c>
      <c r="C24" s="9" t="s">
        <v>14</v>
      </c>
      <c r="D24" s="11">
        <f>_xlfn.MAXIFS('2'!$I$4:$I$70,'2'!$C$4:$C$70,$B24,'2'!$D$4:$D$70,$C24)</f>
        <v>-3.3481999999999998</v>
      </c>
      <c r="E24" s="11">
        <f>_xlfn.MINIFS('2'!$I$4:$I$70,'2'!$C$4:$C$70,$B24,'2'!$D$4:$D$70,$C24)</f>
        <v>-3.3481999999999998</v>
      </c>
      <c r="F24" s="11">
        <f>_xlfn.MAXIFS('2'!$M$4:$M$70,'2'!$C$4:$C$70,$B24,'2'!$D$4:$D$70,$C24)</f>
        <v>-1.3796999999999999</v>
      </c>
      <c r="G24" s="11">
        <f>_xlfn.MINIFS('2'!$M$4:$M$70,'2'!$C$4:$C$70,$B24,'2'!$D$4:$D$70,$C24)</f>
        <v>-10.085100000000001</v>
      </c>
      <c r="H24" s="11">
        <f>_xlfn.MAXIFS('2'!$H$4:$H$70,'2'!$C$4:$C$70,$B24,'2'!$D$4:$D$70,$C24)</f>
        <v>-312.6755</v>
      </c>
      <c r="I24" s="11">
        <f>_xlfn.MINIFS('2'!$H$4:$H$70,'2'!$C$4:$C$70,$B24,'2'!$D$4:$D$70,$C24)</f>
        <v>-318.85050000000001</v>
      </c>
    </row>
    <row r="25" spans="1:9" x14ac:dyDescent="0.3">
      <c r="A25" s="9">
        <v>2</v>
      </c>
      <c r="B25" s="9" t="s">
        <v>50</v>
      </c>
      <c r="C25" s="9" t="s">
        <v>18</v>
      </c>
      <c r="D25" s="11">
        <f>_xlfn.MAXIFS('2'!$I$4:$I$70,'2'!$C$4:$C$70,$B25,'2'!$D$4:$D$70,$C25)</f>
        <v>-5.8105000000000002</v>
      </c>
      <c r="E25" s="11">
        <f>_xlfn.MINIFS('2'!$I$4:$I$70,'2'!$C$4:$C$70,$B25,'2'!$D$4:$D$70,$C25)</f>
        <v>-5.8105000000000002</v>
      </c>
      <c r="F25" s="11">
        <f>_xlfn.MAXIFS('2'!$M$4:$M$70,'2'!$C$4:$C$70,$B25,'2'!$D$4:$D$70,$C25)</f>
        <v>7.1279000000000003</v>
      </c>
      <c r="G25" s="11">
        <f>_xlfn.MINIFS('2'!$M$4:$M$70,'2'!$C$4:$C$70,$B25,'2'!$D$4:$D$70,$C25)</f>
        <v>-7.9794999999999998</v>
      </c>
      <c r="H25" s="11">
        <f>_xlfn.MAXIFS('2'!$H$4:$H$70,'2'!$C$4:$C$70,$B25,'2'!$D$4:$D$70,$C25)</f>
        <v>-77.018500000000003</v>
      </c>
      <c r="I25" s="11">
        <f>_xlfn.MINIFS('2'!$H$4:$H$70,'2'!$C$4:$C$70,$B25,'2'!$D$4:$D$70,$C25)</f>
        <v>-77.018500000000003</v>
      </c>
    </row>
    <row r="26" spans="1:9" x14ac:dyDescent="0.3">
      <c r="A26" s="9">
        <v>2</v>
      </c>
      <c r="B26" s="9" t="s">
        <v>50</v>
      </c>
      <c r="C26" s="9" t="s">
        <v>19</v>
      </c>
      <c r="D26" s="11">
        <f>_xlfn.MAXIFS('2'!$I$4:$I$70,'2'!$C$4:$C$70,$B26,'2'!$D$4:$D$70,$C26)</f>
        <v>19.294799999999999</v>
      </c>
      <c r="E26" s="11">
        <f>_xlfn.MINIFS('2'!$I$4:$I$70,'2'!$C$4:$C$70,$B26,'2'!$D$4:$D$70,$C26)</f>
        <v>19.294799999999999</v>
      </c>
      <c r="F26" s="11">
        <f>_xlfn.MAXIFS('2'!$M$4:$M$70,'2'!$C$4:$C$70,$B26,'2'!$D$4:$D$70,$C26)</f>
        <v>72.202100000000002</v>
      </c>
      <c r="G26" s="11">
        <f>_xlfn.MINIFS('2'!$M$4:$M$70,'2'!$C$4:$C$70,$B26,'2'!$D$4:$D$70,$C26)</f>
        <v>32.249000000000002</v>
      </c>
      <c r="H26" s="11">
        <f>_xlfn.MAXIFS('2'!$H$4:$H$70,'2'!$C$4:$C$70,$B26,'2'!$D$4:$D$70,$C26)</f>
        <v>181.07660000000001</v>
      </c>
      <c r="I26" s="11">
        <f>_xlfn.MINIFS('2'!$H$4:$H$70,'2'!$C$4:$C$70,$B26,'2'!$D$4:$D$70,$C26)</f>
        <v>181.07660000000001</v>
      </c>
    </row>
    <row r="27" spans="1:9" x14ac:dyDescent="0.3">
      <c r="A27" s="9">
        <v>2</v>
      </c>
      <c r="B27" s="9" t="s">
        <v>50</v>
      </c>
      <c r="C27" s="9" t="s">
        <v>22</v>
      </c>
      <c r="D27" s="11">
        <f>_xlfn.MAXIFS('2'!$I$4:$I$70,'2'!$C$4:$C$70,$B27,'2'!$D$4:$D$70,$C27)</f>
        <v>10.468</v>
      </c>
      <c r="E27" s="11">
        <f>_xlfn.MINIFS('2'!$I$4:$I$70,'2'!$C$4:$C$70,$B27,'2'!$D$4:$D$70,$C27)</f>
        <v>10.468</v>
      </c>
      <c r="F27" s="11">
        <f>_xlfn.MAXIFS('2'!$M$4:$M$70,'2'!$C$4:$C$70,$B27,'2'!$D$4:$D$70,$C27)</f>
        <v>97.048599999999993</v>
      </c>
      <c r="G27" s="11">
        <f>_xlfn.MINIFS('2'!$M$4:$M$70,'2'!$C$4:$C$70,$B27,'2'!$D$4:$D$70,$C27)</f>
        <v>79.764300000000006</v>
      </c>
      <c r="H27" s="11">
        <f>_xlfn.MAXIFS('2'!$H$4:$H$70,'2'!$C$4:$C$70,$B27,'2'!$D$4:$D$70,$C27)</f>
        <v>156.9889</v>
      </c>
      <c r="I27" s="11">
        <f>_xlfn.MINIFS('2'!$H$4:$H$70,'2'!$C$4:$C$70,$B27,'2'!$D$4:$D$70,$C27)</f>
        <v>156.9889</v>
      </c>
    </row>
    <row r="28" spans="1:9" x14ac:dyDescent="0.3">
      <c r="A28" s="9">
        <v>2</v>
      </c>
      <c r="B28" s="9" t="s">
        <v>51</v>
      </c>
      <c r="C28" s="9" t="s">
        <v>14</v>
      </c>
      <c r="D28" s="11">
        <f>_xlfn.MAXIFS('2'!$I$4:$I$70,'2'!$C$4:$C$70,$B28,'2'!$D$4:$D$70,$C28)</f>
        <v>0.6774</v>
      </c>
      <c r="E28" s="11">
        <f>_xlfn.MINIFS('2'!$I$4:$I$70,'2'!$C$4:$C$70,$B28,'2'!$D$4:$D$70,$C28)</f>
        <v>0.6774</v>
      </c>
      <c r="F28" s="11">
        <f>_xlfn.MAXIFS('2'!$M$4:$M$70,'2'!$C$4:$C$70,$B28,'2'!$D$4:$D$70,$C28)</f>
        <v>0.45669999999999999</v>
      </c>
      <c r="G28" s="11">
        <f>_xlfn.MINIFS('2'!$M$4:$M$70,'2'!$C$4:$C$70,$B28,'2'!$D$4:$D$70,$C28)</f>
        <v>-1.3045</v>
      </c>
      <c r="H28" s="11">
        <f>_xlfn.MAXIFS('2'!$H$4:$H$70,'2'!$C$4:$C$70,$B28,'2'!$D$4:$D$70,$C28)</f>
        <v>-100.2474</v>
      </c>
      <c r="I28" s="11">
        <f>_xlfn.MINIFS('2'!$H$4:$H$70,'2'!$C$4:$C$70,$B28,'2'!$D$4:$D$70,$C28)</f>
        <v>-102.33150000000001</v>
      </c>
    </row>
    <row r="29" spans="1:9" x14ac:dyDescent="0.3">
      <c r="A29" s="9">
        <v>2</v>
      </c>
      <c r="B29" s="9" t="s">
        <v>51</v>
      </c>
      <c r="C29" s="9" t="s">
        <v>18</v>
      </c>
      <c r="D29" s="11">
        <f>_xlfn.MAXIFS('2'!$I$4:$I$70,'2'!$C$4:$C$70,$B29,'2'!$D$4:$D$70,$C29)</f>
        <v>1.0105999999999999</v>
      </c>
      <c r="E29" s="11">
        <f>_xlfn.MINIFS('2'!$I$4:$I$70,'2'!$C$4:$C$70,$B29,'2'!$D$4:$D$70,$C29)</f>
        <v>1.0105999999999999</v>
      </c>
      <c r="F29" s="11">
        <f>_xlfn.MAXIFS('2'!$M$4:$M$70,'2'!$C$4:$C$70,$B29,'2'!$D$4:$D$70,$C29)</f>
        <v>0.90790000000000004</v>
      </c>
      <c r="G29" s="11">
        <f>_xlfn.MINIFS('2'!$M$4:$M$70,'2'!$C$4:$C$70,$B29,'2'!$D$4:$D$70,$C29)</f>
        <v>-1.7198</v>
      </c>
      <c r="H29" s="11">
        <f>_xlfn.MAXIFS('2'!$H$4:$H$70,'2'!$C$4:$C$70,$B29,'2'!$D$4:$D$70,$C29)</f>
        <v>-23.790400000000002</v>
      </c>
      <c r="I29" s="11">
        <f>_xlfn.MINIFS('2'!$H$4:$H$70,'2'!$C$4:$C$70,$B29,'2'!$D$4:$D$70,$C29)</f>
        <v>-23.790400000000002</v>
      </c>
    </row>
    <row r="30" spans="1:9" x14ac:dyDescent="0.3">
      <c r="A30" s="9">
        <v>2</v>
      </c>
      <c r="B30" s="9" t="s">
        <v>51</v>
      </c>
      <c r="C30" s="9" t="s">
        <v>19</v>
      </c>
      <c r="D30" s="11">
        <f>_xlfn.MAXIFS('2'!$I$4:$I$70,'2'!$C$4:$C$70,$B30,'2'!$D$4:$D$70,$C30)</f>
        <v>9.6560000000000006</v>
      </c>
      <c r="E30" s="11">
        <f>_xlfn.MINIFS('2'!$I$4:$I$70,'2'!$C$4:$C$70,$B30,'2'!$D$4:$D$70,$C30)</f>
        <v>9.6560000000000006</v>
      </c>
      <c r="F30" s="11">
        <f>_xlfn.MAXIFS('2'!$M$4:$M$70,'2'!$C$4:$C$70,$B30,'2'!$D$4:$D$70,$C30)</f>
        <v>16.524100000000001</v>
      </c>
      <c r="G30" s="11">
        <f>_xlfn.MINIFS('2'!$M$4:$M$70,'2'!$C$4:$C$70,$B30,'2'!$D$4:$D$70,$C30)</f>
        <v>10.513199999999999</v>
      </c>
      <c r="H30" s="11">
        <f>_xlfn.MAXIFS('2'!$H$4:$H$70,'2'!$C$4:$C$70,$B30,'2'!$D$4:$D$70,$C30)</f>
        <v>75.802899999999994</v>
      </c>
      <c r="I30" s="11">
        <f>_xlfn.MINIFS('2'!$H$4:$H$70,'2'!$C$4:$C$70,$B30,'2'!$D$4:$D$70,$C30)</f>
        <v>75.802899999999994</v>
      </c>
    </row>
    <row r="31" spans="1:9" x14ac:dyDescent="0.3">
      <c r="A31" s="9">
        <v>2</v>
      </c>
      <c r="B31" s="9" t="s">
        <v>51</v>
      </c>
      <c r="C31" s="9" t="s">
        <v>22</v>
      </c>
      <c r="D31" s="11">
        <f>_xlfn.MAXIFS('2'!$I$4:$I$70,'2'!$C$4:$C$70,$B31,'2'!$D$4:$D$70,$C31)</f>
        <v>5.4242999999999997</v>
      </c>
      <c r="E31" s="11">
        <f>_xlfn.MINIFS('2'!$I$4:$I$70,'2'!$C$4:$C$70,$B31,'2'!$D$4:$D$70,$C31)</f>
        <v>5.4242999999999997</v>
      </c>
      <c r="F31" s="11">
        <f>_xlfn.MAXIFS('2'!$M$4:$M$70,'2'!$C$4:$C$70,$B31,'2'!$D$4:$D$70,$C31)</f>
        <v>8.6387999999999998</v>
      </c>
      <c r="G31" s="11">
        <f>_xlfn.MINIFS('2'!$M$4:$M$70,'2'!$C$4:$C$70,$B31,'2'!$D$4:$D$70,$C31)</f>
        <v>5.4657999999999998</v>
      </c>
      <c r="H31" s="11">
        <f>_xlfn.MAXIFS('2'!$H$4:$H$70,'2'!$C$4:$C$70,$B31,'2'!$D$4:$D$70,$C31)</f>
        <v>99.207400000000007</v>
      </c>
      <c r="I31" s="11">
        <f>_xlfn.MINIFS('2'!$H$4:$H$70,'2'!$C$4:$C$70,$B31,'2'!$D$4:$D$70,$C31)</f>
        <v>99.207400000000007</v>
      </c>
    </row>
    <row r="32" spans="1:9" x14ac:dyDescent="0.3">
      <c r="A32" s="14">
        <v>3</v>
      </c>
      <c r="B32" s="14" t="s">
        <v>38</v>
      </c>
      <c r="C32" s="14" t="s">
        <v>14</v>
      </c>
      <c r="D32" s="15">
        <f>_xlfn.MAXIFS('3'!$I$4:$I$70,'3'!$C$4:$C$70,$B32,'3'!$D$4:$D$70,$C32)</f>
        <v>6.4747000000000003</v>
      </c>
      <c r="E32" s="15">
        <f>_xlfn.MINIFS('3'!$I$4:$I$70,'3'!$C$4:$C$70,$B32,'3'!$D$4:$D$70,$C32)</f>
        <v>6.4747000000000003</v>
      </c>
      <c r="F32" s="15">
        <f>_xlfn.MAXIFS('3'!$M$4:$M$70,'3'!$C$4:$C$70,$B32,'3'!$D$4:$D$70,$C32)</f>
        <v>-23.138999999999999</v>
      </c>
      <c r="G32" s="15">
        <f>_xlfn.MINIFS('3'!$M$4:$M$70,'3'!$C$4:$C$70,$B32,'3'!$D$4:$D$70,$C32)</f>
        <v>-39.973399999999998</v>
      </c>
      <c r="H32" s="15">
        <f>_xlfn.MAXIFS('3'!$H$4:$H$70,'3'!$C$4:$C$70,$B32,'3'!$D$4:$D$70,$C32)</f>
        <v>-257.36329999999998</v>
      </c>
      <c r="I32" s="15">
        <f>_xlfn.MINIFS('3'!$H$4:$H$70,'3'!$C$4:$C$70,$B32,'3'!$D$4:$D$70,$C32)</f>
        <v>-265.34199999999998</v>
      </c>
    </row>
    <row r="33" spans="1:9" x14ac:dyDescent="0.3">
      <c r="A33" s="14">
        <v>3</v>
      </c>
      <c r="B33" s="14" t="s">
        <v>38</v>
      </c>
      <c r="C33" s="14" t="s">
        <v>18</v>
      </c>
      <c r="D33" s="15">
        <f>_xlfn.MAXIFS('3'!$I$4:$I$70,'3'!$C$4:$C$70,$B33,'3'!$D$4:$D$70,$C33)</f>
        <v>-2.9462000000000002</v>
      </c>
      <c r="E33" s="15">
        <f>_xlfn.MINIFS('3'!$I$4:$I$70,'3'!$C$4:$C$70,$B33,'3'!$D$4:$D$70,$C33)</f>
        <v>-2.9462000000000002</v>
      </c>
      <c r="F33" s="15">
        <f>_xlfn.MAXIFS('3'!$M$4:$M$70,'3'!$C$4:$C$70,$B33,'3'!$D$4:$D$70,$C33)</f>
        <v>2.2465999999999999</v>
      </c>
      <c r="G33" s="15">
        <f>_xlfn.MINIFS('3'!$M$4:$M$70,'3'!$C$4:$C$70,$B33,'3'!$D$4:$D$70,$C33)</f>
        <v>-5.4135</v>
      </c>
      <c r="H33" s="15">
        <f>_xlfn.MAXIFS('3'!$H$4:$H$70,'3'!$C$4:$C$70,$B33,'3'!$D$4:$D$70,$C33)</f>
        <v>-71.513499999999993</v>
      </c>
      <c r="I33" s="15">
        <f>_xlfn.MINIFS('3'!$H$4:$H$70,'3'!$C$4:$C$70,$B33,'3'!$D$4:$D$70,$C33)</f>
        <v>-71.513499999999993</v>
      </c>
    </row>
    <row r="34" spans="1:9" x14ac:dyDescent="0.3">
      <c r="A34" s="14">
        <v>3</v>
      </c>
      <c r="B34" s="14" t="s">
        <v>38</v>
      </c>
      <c r="C34" s="14" t="s">
        <v>19</v>
      </c>
      <c r="D34" s="15">
        <f>_xlfn.MAXIFS('3'!$I$4:$I$70,'3'!$C$4:$C$70,$B34,'3'!$D$4:$D$70,$C34)</f>
        <v>25.696000000000002</v>
      </c>
      <c r="E34" s="15">
        <f>_xlfn.MINIFS('3'!$I$4:$I$70,'3'!$C$4:$C$70,$B34,'3'!$D$4:$D$70,$C34)</f>
        <v>25.696000000000002</v>
      </c>
      <c r="F34" s="15">
        <f>_xlfn.MAXIFS('3'!$M$4:$M$70,'3'!$C$4:$C$70,$B34,'3'!$D$4:$D$70,$C34)</f>
        <v>121.63890000000001</v>
      </c>
      <c r="G34" s="15">
        <f>_xlfn.MINIFS('3'!$M$4:$M$70,'3'!$C$4:$C$70,$B34,'3'!$D$4:$D$70,$C34)</f>
        <v>56.178100000000001</v>
      </c>
      <c r="H34" s="15">
        <f>_xlfn.MAXIFS('3'!$H$4:$H$70,'3'!$C$4:$C$70,$B34,'3'!$D$4:$D$70,$C34)</f>
        <v>238.636</v>
      </c>
      <c r="I34" s="15">
        <f>_xlfn.MINIFS('3'!$H$4:$H$70,'3'!$C$4:$C$70,$B34,'3'!$D$4:$D$70,$C34)</f>
        <v>238.636</v>
      </c>
    </row>
    <row r="35" spans="1:9" x14ac:dyDescent="0.3">
      <c r="A35" s="14">
        <v>3</v>
      </c>
      <c r="B35" s="14" t="s">
        <v>38</v>
      </c>
      <c r="C35" s="14" t="s">
        <v>22</v>
      </c>
      <c r="D35" s="15">
        <f>_xlfn.MAXIFS('3'!$I$4:$I$70,'3'!$C$4:$C$70,$B35,'3'!$D$4:$D$70,$C35)</f>
        <v>23.8413</v>
      </c>
      <c r="E35" s="15">
        <f>_xlfn.MINIFS('3'!$I$4:$I$70,'3'!$C$4:$C$70,$B35,'3'!$D$4:$D$70,$C35)</f>
        <v>23.8413</v>
      </c>
      <c r="F35" s="15">
        <f>_xlfn.MAXIFS('3'!$M$4:$M$70,'3'!$C$4:$C$70,$B35,'3'!$D$4:$D$70,$C35)</f>
        <v>257.3116</v>
      </c>
      <c r="G35" s="15">
        <f>_xlfn.MINIFS('3'!$M$4:$M$70,'3'!$C$4:$C$70,$B35,'3'!$D$4:$D$70,$C35)</f>
        <v>198.59559999999999</v>
      </c>
      <c r="H35" s="15">
        <f>_xlfn.MAXIFS('3'!$H$4:$H$70,'3'!$C$4:$C$70,$B35,'3'!$D$4:$D$70,$C35)</f>
        <v>189.4435</v>
      </c>
      <c r="I35" s="15">
        <f>_xlfn.MINIFS('3'!$H$4:$H$70,'3'!$C$4:$C$70,$B35,'3'!$D$4:$D$70,$C35)</f>
        <v>189.4435</v>
      </c>
    </row>
    <row r="36" spans="1:9" x14ac:dyDescent="0.3">
      <c r="A36" s="14">
        <v>3</v>
      </c>
      <c r="B36" s="14" t="s">
        <v>39</v>
      </c>
      <c r="C36" s="14" t="s">
        <v>14</v>
      </c>
      <c r="D36" s="15">
        <f>_xlfn.MAXIFS('3'!$I$4:$I$70,'3'!$C$4:$C$70,$B36,'3'!$D$4:$D$70,$C36)</f>
        <v>-27.214300000000001</v>
      </c>
      <c r="E36" s="15">
        <f>_xlfn.MINIFS('3'!$I$4:$I$70,'3'!$C$4:$C$70,$B36,'3'!$D$4:$D$70,$C36)</f>
        <v>-27.214300000000001</v>
      </c>
      <c r="F36" s="15">
        <f>_xlfn.MAXIFS('3'!$M$4:$M$70,'3'!$C$4:$C$70,$B36,'3'!$D$4:$D$70,$C36)</f>
        <v>121.2713</v>
      </c>
      <c r="G36" s="15">
        <f>_xlfn.MINIFS('3'!$M$4:$M$70,'3'!$C$4:$C$70,$B36,'3'!$D$4:$D$70,$C36)</f>
        <v>50.514200000000002</v>
      </c>
      <c r="H36" s="15">
        <f>_xlfn.MAXIFS('3'!$H$4:$H$70,'3'!$C$4:$C$70,$B36,'3'!$D$4:$D$70,$C36)</f>
        <v>-145.9956</v>
      </c>
      <c r="I36" s="15">
        <f>_xlfn.MINIFS('3'!$H$4:$H$70,'3'!$C$4:$C$70,$B36,'3'!$D$4:$D$70,$C36)</f>
        <v>-154.28309999999999</v>
      </c>
    </row>
    <row r="37" spans="1:9" x14ac:dyDescent="0.3">
      <c r="A37" s="14">
        <v>3</v>
      </c>
      <c r="B37" s="14" t="s">
        <v>39</v>
      </c>
      <c r="C37" s="14" t="s">
        <v>18</v>
      </c>
      <c r="D37" s="15">
        <f>_xlfn.MAXIFS('3'!$I$4:$I$70,'3'!$C$4:$C$70,$B37,'3'!$D$4:$D$70,$C37)</f>
        <v>-8.6232000000000006</v>
      </c>
      <c r="E37" s="15">
        <f>_xlfn.MINIFS('3'!$I$4:$I$70,'3'!$C$4:$C$70,$B37,'3'!$D$4:$D$70,$C37)</f>
        <v>-8.6232000000000006</v>
      </c>
      <c r="F37" s="15">
        <f>_xlfn.MAXIFS('3'!$M$4:$M$70,'3'!$C$4:$C$70,$B37,'3'!$D$4:$D$70,$C37)</f>
        <v>31.471699999999998</v>
      </c>
      <c r="G37" s="15">
        <f>_xlfn.MINIFS('3'!$M$4:$M$70,'3'!$C$4:$C$70,$B37,'3'!$D$4:$D$70,$C37)</f>
        <v>9.0513999999999992</v>
      </c>
      <c r="H37" s="15">
        <f>_xlfn.MAXIFS('3'!$H$4:$H$70,'3'!$C$4:$C$70,$B37,'3'!$D$4:$D$70,$C37)</f>
        <v>-38.252800000000001</v>
      </c>
      <c r="I37" s="15">
        <f>_xlfn.MINIFS('3'!$H$4:$H$70,'3'!$C$4:$C$70,$B37,'3'!$D$4:$D$70,$C37)</f>
        <v>-38.252800000000001</v>
      </c>
    </row>
    <row r="38" spans="1:9" x14ac:dyDescent="0.3">
      <c r="A38" s="14">
        <v>3</v>
      </c>
      <c r="B38" s="14" t="s">
        <v>39</v>
      </c>
      <c r="C38" s="14" t="s">
        <v>19</v>
      </c>
      <c r="D38" s="15">
        <f>_xlfn.MAXIFS('3'!$I$4:$I$70,'3'!$C$4:$C$70,$B38,'3'!$D$4:$D$70,$C38)</f>
        <v>28.7636</v>
      </c>
      <c r="E38" s="15">
        <f>_xlfn.MINIFS('3'!$I$4:$I$70,'3'!$C$4:$C$70,$B38,'3'!$D$4:$D$70,$C38)</f>
        <v>28.7636</v>
      </c>
      <c r="F38" s="15">
        <f>_xlfn.MAXIFS('3'!$M$4:$M$70,'3'!$C$4:$C$70,$B38,'3'!$D$4:$D$70,$C38)</f>
        <v>243.2748</v>
      </c>
      <c r="G38" s="15">
        <f>_xlfn.MINIFS('3'!$M$4:$M$70,'3'!$C$4:$C$70,$B38,'3'!$D$4:$D$70,$C38)</f>
        <v>239.37010000000001</v>
      </c>
      <c r="H38" s="15">
        <f>_xlfn.MAXIFS('3'!$H$4:$H$70,'3'!$C$4:$C$70,$B38,'3'!$D$4:$D$70,$C38)</f>
        <v>60.721699999999998</v>
      </c>
      <c r="I38" s="15">
        <f>_xlfn.MINIFS('3'!$H$4:$H$70,'3'!$C$4:$C$70,$B38,'3'!$D$4:$D$70,$C38)</f>
        <v>60.721699999999998</v>
      </c>
    </row>
    <row r="39" spans="1:9" x14ac:dyDescent="0.3">
      <c r="A39" s="14">
        <v>3</v>
      </c>
      <c r="B39" s="14" t="s">
        <v>39</v>
      </c>
      <c r="C39" s="14" t="s">
        <v>22</v>
      </c>
      <c r="D39" s="15">
        <f>_xlfn.MAXIFS('3'!$I$4:$I$70,'3'!$C$4:$C$70,$B39,'3'!$D$4:$D$70,$C39)</f>
        <v>13.9832</v>
      </c>
      <c r="E39" s="15">
        <f>_xlfn.MINIFS('3'!$I$4:$I$70,'3'!$C$4:$C$70,$B39,'3'!$D$4:$D$70,$C39)</f>
        <v>13.9832</v>
      </c>
      <c r="F39" s="15">
        <f>_xlfn.MAXIFS('3'!$M$4:$M$70,'3'!$C$4:$C$70,$B39,'3'!$D$4:$D$70,$C39)</f>
        <v>73.762500000000003</v>
      </c>
      <c r="G39" s="15">
        <f>_xlfn.MINIFS('3'!$M$4:$M$70,'3'!$C$4:$C$70,$B39,'3'!$D$4:$D$70,$C39)</f>
        <v>39.522399999999998</v>
      </c>
      <c r="H39" s="15">
        <f>_xlfn.MAXIFS('3'!$H$4:$H$70,'3'!$C$4:$C$70,$B39,'3'!$D$4:$D$70,$C39)</f>
        <v>78.393000000000001</v>
      </c>
      <c r="I39" s="15">
        <f>_xlfn.MINIFS('3'!$H$4:$H$70,'3'!$C$4:$C$70,$B39,'3'!$D$4:$D$70,$C39)</f>
        <v>78.393000000000001</v>
      </c>
    </row>
    <row r="40" spans="1:9" x14ac:dyDescent="0.3">
      <c r="A40" s="9">
        <v>4</v>
      </c>
      <c r="B40" s="9" t="s">
        <v>40</v>
      </c>
      <c r="C40" s="9" t="s">
        <v>14</v>
      </c>
      <c r="D40" s="11">
        <f>_xlfn.MAXIFS('4'!$I$4:$I$36,'4'!$C$4:$C$36,$B40,'4'!$D$4:$D$36,$C40)</f>
        <v>-2.7275999999999998</v>
      </c>
      <c r="E40" s="11">
        <f>_xlfn.MINIFS('4'!$I$4:$I$36,'4'!$C$4:$C$36,$B40,'4'!$D$4:$D$36,$C40)</f>
        <v>-2.7275999999999998</v>
      </c>
      <c r="F40" s="11">
        <f>_xlfn.MAXIFS('4'!$M$4:$M$36,'4'!$C$4:$C$36,$B40,'4'!$D$4:$D$36,$C40)</f>
        <v>-57.082900000000002</v>
      </c>
      <c r="G40" s="11">
        <f>_xlfn.MINIFS('4'!$M$4:$M$36,'4'!$C$4:$C$36,$B40,'4'!$D$4:$D$36,$C40)</f>
        <v>-64.174599999999998</v>
      </c>
      <c r="H40" s="11">
        <f>_xlfn.MAXIFS('4'!$H$4:$H$36,'4'!$C$4:$C$36,$B40,'4'!$D$4:$D$36,$C40)</f>
        <v>-676.28039999999999</v>
      </c>
      <c r="I40" s="11">
        <f>_xlfn.MINIFS('4'!$H$4:$H$36,'4'!$C$4:$C$36,$B40,'4'!$D$4:$D$36,$C40)</f>
        <v>-688.10640000000001</v>
      </c>
    </row>
    <row r="41" spans="1:9" x14ac:dyDescent="0.3">
      <c r="A41" s="9">
        <v>4</v>
      </c>
      <c r="B41" s="9" t="s">
        <v>40</v>
      </c>
      <c r="C41" s="9" t="s">
        <v>18</v>
      </c>
      <c r="D41" s="11">
        <f>_xlfn.MAXIFS('4'!$I$4:$I$36,'4'!$C$4:$C$36,$B41,'4'!$D$4:$D$36,$C41)</f>
        <v>-8.4778000000000002</v>
      </c>
      <c r="E41" s="11">
        <f>_xlfn.MINIFS('4'!$I$4:$I$36,'4'!$C$4:$C$36,$B41,'4'!$D$4:$D$36,$C41)</f>
        <v>-8.4778000000000002</v>
      </c>
      <c r="F41" s="11">
        <f>_xlfn.MAXIFS('4'!$M$4:$M$36,'4'!$C$4:$C$36,$B41,'4'!$D$4:$D$36,$C41)</f>
        <v>2.7890000000000001</v>
      </c>
      <c r="G41" s="11">
        <f>_xlfn.MINIFS('4'!$M$4:$M$36,'4'!$C$4:$C$36,$B41,'4'!$D$4:$D$36,$C41)</f>
        <v>-19.253299999999999</v>
      </c>
      <c r="H41" s="11">
        <f>_xlfn.MAXIFS('4'!$H$4:$H$36,'4'!$C$4:$C$36,$B41,'4'!$D$4:$D$36,$C41)</f>
        <v>-168.20750000000001</v>
      </c>
      <c r="I41" s="11">
        <f>_xlfn.MINIFS('4'!$H$4:$H$36,'4'!$C$4:$C$36,$B41,'4'!$D$4:$D$36,$C41)</f>
        <v>-168.20750000000001</v>
      </c>
    </row>
    <row r="42" spans="1:9" x14ac:dyDescent="0.3">
      <c r="A42" s="9">
        <v>4</v>
      </c>
      <c r="B42" s="9" t="s">
        <v>40</v>
      </c>
      <c r="C42" s="9" t="s">
        <v>19</v>
      </c>
      <c r="D42" s="11">
        <f>_xlfn.MAXIFS('4'!$I$4:$I$36,'4'!$C$4:$C$36,$B42,'4'!$D$4:$D$36,$C42)</f>
        <v>5.1077000000000004</v>
      </c>
      <c r="E42" s="11">
        <f>_xlfn.MINIFS('4'!$I$4:$I$36,'4'!$C$4:$C$36,$B42,'4'!$D$4:$D$36,$C42)</f>
        <v>5.1077000000000004</v>
      </c>
      <c r="F42" s="11">
        <f>_xlfn.MAXIFS('4'!$M$4:$M$36,'4'!$C$4:$C$36,$B42,'4'!$D$4:$D$36,$C42)</f>
        <v>64.9846</v>
      </c>
      <c r="G42" s="11">
        <f>_xlfn.MINIFS('4'!$M$4:$M$36,'4'!$C$4:$C$36,$B42,'4'!$D$4:$D$36,$C42)</f>
        <v>62.44</v>
      </c>
      <c r="H42" s="11">
        <f>_xlfn.MAXIFS('4'!$H$4:$H$36,'4'!$C$4:$C$36,$B42,'4'!$D$4:$D$36,$C42)</f>
        <v>69.983699999999999</v>
      </c>
      <c r="I42" s="11">
        <f>_xlfn.MINIFS('4'!$H$4:$H$36,'4'!$C$4:$C$36,$B42,'4'!$D$4:$D$36,$C42)</f>
        <v>69.983699999999999</v>
      </c>
    </row>
    <row r="43" spans="1:9" x14ac:dyDescent="0.3">
      <c r="A43" s="9">
        <v>4</v>
      </c>
      <c r="B43" s="9" t="s">
        <v>40</v>
      </c>
      <c r="C43" s="9" t="s">
        <v>22</v>
      </c>
      <c r="D43" s="11">
        <f>_xlfn.MAXIFS('4'!$I$4:$I$36,'4'!$C$4:$C$36,$B43,'4'!$D$4:$D$36,$C43)</f>
        <v>15.6112</v>
      </c>
      <c r="E43" s="11">
        <f>_xlfn.MINIFS('4'!$I$4:$I$36,'4'!$C$4:$C$36,$B43,'4'!$D$4:$D$36,$C43)</f>
        <v>15.6112</v>
      </c>
      <c r="F43" s="11">
        <f>_xlfn.MAXIFS('4'!$M$4:$M$36,'4'!$C$4:$C$36,$B43,'4'!$D$4:$D$36,$C43)</f>
        <v>624.03369999999995</v>
      </c>
      <c r="G43" s="11">
        <f>_xlfn.MINIFS('4'!$M$4:$M$36,'4'!$C$4:$C$36,$B43,'4'!$D$4:$D$36,$C43)</f>
        <v>590.33019999999999</v>
      </c>
      <c r="H43" s="11">
        <f>_xlfn.MAXIFS('4'!$H$4:$H$36,'4'!$C$4:$C$36,$B43,'4'!$D$4:$D$36,$C43)</f>
        <v>158.822</v>
      </c>
      <c r="I43" s="11">
        <f>_xlfn.MINIFS('4'!$H$4:$H$36,'4'!$C$4:$C$36,$B43,'4'!$D$4:$D$36,$C43)</f>
        <v>158.822</v>
      </c>
    </row>
    <row r="44" spans="1:9" x14ac:dyDescent="0.3">
      <c r="A44" s="14">
        <v>5</v>
      </c>
      <c r="B44" s="14" t="s">
        <v>41</v>
      </c>
      <c r="C44" s="14" t="s">
        <v>14</v>
      </c>
      <c r="D44" s="15">
        <f>_xlfn.MAXIFS('5'!$I$4:$I$36,'5'!$C$4:$C$36,$B44,'5'!$D$4:$D$36,$C44)</f>
        <v>-2.9777</v>
      </c>
      <c r="E44" s="15">
        <f>_xlfn.MINIFS('5'!$I$4:$I$36,'5'!$C$4:$C$36,$B44,'5'!$D$4:$D$36,$C44)</f>
        <v>-2.9777</v>
      </c>
      <c r="F44" s="15">
        <f>_xlfn.MAXIFS('5'!$M$4:$M$36,'5'!$C$4:$C$36,$B44,'5'!$D$4:$D$36,$C44)</f>
        <v>4.5975999999999999</v>
      </c>
      <c r="G44" s="15">
        <f>_xlfn.MINIFS('5'!$M$4:$M$36,'5'!$C$4:$C$36,$B44,'5'!$D$4:$D$36,$C44)</f>
        <v>-3.1444999999999999</v>
      </c>
      <c r="H44" s="15">
        <f>_xlfn.MAXIFS('5'!$H$4:$H$36,'5'!$C$4:$C$36,$B44,'5'!$D$4:$D$36,$C44)</f>
        <v>-129.5146</v>
      </c>
      <c r="I44" s="15">
        <f>_xlfn.MINIFS('5'!$H$4:$H$36,'5'!$C$4:$C$36,$B44,'5'!$D$4:$D$36,$C44)</f>
        <v>-133.61150000000001</v>
      </c>
    </row>
    <row r="45" spans="1:9" x14ac:dyDescent="0.3">
      <c r="A45" s="14">
        <v>5</v>
      </c>
      <c r="B45" s="14" t="s">
        <v>41</v>
      </c>
      <c r="C45" s="14" t="s">
        <v>18</v>
      </c>
      <c r="D45" s="15">
        <f>_xlfn.MAXIFS('5'!$I$4:$I$36,'5'!$C$4:$C$36,$B45,'5'!$D$4:$D$36,$C45)</f>
        <v>-0.16259999999999999</v>
      </c>
      <c r="E45" s="15">
        <f>_xlfn.MINIFS('5'!$I$4:$I$36,'5'!$C$4:$C$36,$B45,'5'!$D$4:$D$36,$C45)</f>
        <v>-0.16259999999999999</v>
      </c>
      <c r="F45" s="15">
        <f>_xlfn.MAXIFS('5'!$M$4:$M$36,'5'!$C$4:$C$36,$B45,'5'!$D$4:$D$36,$C45)</f>
        <v>-0.41439999999999999</v>
      </c>
      <c r="G45" s="15">
        <f>_xlfn.MINIFS('5'!$M$4:$M$36,'5'!$C$4:$C$36,$B45,'5'!$D$4:$D$36,$C45)</f>
        <v>-0.83709999999999996</v>
      </c>
      <c r="H45" s="15">
        <f>_xlfn.MAXIFS('5'!$H$4:$H$36,'5'!$C$4:$C$36,$B45,'5'!$D$4:$D$36,$C45)</f>
        <v>-33.691099999999999</v>
      </c>
      <c r="I45" s="15">
        <f>_xlfn.MINIFS('5'!$H$4:$H$36,'5'!$C$4:$C$36,$B45,'5'!$D$4:$D$36,$C45)</f>
        <v>-33.691099999999999</v>
      </c>
    </row>
    <row r="46" spans="1:9" x14ac:dyDescent="0.3">
      <c r="A46" s="14">
        <v>5</v>
      </c>
      <c r="B46" s="14" t="s">
        <v>41</v>
      </c>
      <c r="C46" s="14" t="s">
        <v>19</v>
      </c>
      <c r="D46" s="15">
        <f>_xlfn.MAXIFS('5'!$I$4:$I$36,'5'!$C$4:$C$36,$B46,'5'!$D$4:$D$36,$C46)</f>
        <v>11.2979</v>
      </c>
      <c r="E46" s="15">
        <f>_xlfn.MINIFS('5'!$I$4:$I$36,'5'!$C$4:$C$36,$B46,'5'!$D$4:$D$36,$C46)</f>
        <v>11.2979</v>
      </c>
      <c r="F46" s="15">
        <f>_xlfn.MAXIFS('5'!$M$4:$M$36,'5'!$C$4:$C$36,$B46,'5'!$D$4:$D$36,$C46)</f>
        <v>51.984099999999998</v>
      </c>
      <c r="G46" s="15">
        <f>_xlfn.MINIFS('5'!$M$4:$M$36,'5'!$C$4:$C$36,$B46,'5'!$D$4:$D$36,$C46)</f>
        <v>31.904900000000001</v>
      </c>
      <c r="H46" s="15">
        <f>_xlfn.MAXIFS('5'!$H$4:$H$36,'5'!$C$4:$C$36,$B46,'5'!$D$4:$D$36,$C46)</f>
        <v>62.8994</v>
      </c>
      <c r="I46" s="15">
        <f>_xlfn.MINIFS('5'!$H$4:$H$36,'5'!$C$4:$C$36,$B46,'5'!$D$4:$D$36,$C46)</f>
        <v>62.8994</v>
      </c>
    </row>
    <row r="47" spans="1:9" x14ac:dyDescent="0.3">
      <c r="A47" s="14">
        <v>5</v>
      </c>
      <c r="B47" s="14" t="s">
        <v>41</v>
      </c>
      <c r="C47" s="14" t="s">
        <v>22</v>
      </c>
      <c r="D47" s="15">
        <f>_xlfn.MAXIFS('5'!$I$4:$I$36,'5'!$C$4:$C$36,$B47,'5'!$D$4:$D$36,$C47)</f>
        <v>5.9105999999999996</v>
      </c>
      <c r="E47" s="15">
        <f>_xlfn.MINIFS('5'!$I$4:$I$36,'5'!$C$4:$C$36,$B47,'5'!$D$4:$D$36,$C47)</f>
        <v>5.9105999999999996</v>
      </c>
      <c r="F47" s="15">
        <f>_xlfn.MAXIFS('5'!$M$4:$M$36,'5'!$C$4:$C$36,$B47,'5'!$D$4:$D$36,$C47)</f>
        <v>15.52</v>
      </c>
      <c r="G47" s="15">
        <f>_xlfn.MINIFS('5'!$M$4:$M$36,'5'!$C$4:$C$36,$B47,'5'!$D$4:$D$36,$C47)</f>
        <v>1.5723</v>
      </c>
      <c r="H47" s="15">
        <f>_xlfn.MAXIFS('5'!$H$4:$H$36,'5'!$C$4:$C$36,$B47,'5'!$D$4:$D$36,$C47)</f>
        <v>29.481200000000001</v>
      </c>
      <c r="I47" s="15">
        <f>_xlfn.MINIFS('5'!$H$4:$H$36,'5'!$C$4:$C$36,$B47,'5'!$D$4:$D$36,$C47)</f>
        <v>29.481200000000001</v>
      </c>
    </row>
    <row r="48" spans="1:9" x14ac:dyDescent="0.3">
      <c r="A48" s="9">
        <v>6</v>
      </c>
      <c r="B48" s="9" t="s">
        <v>42</v>
      </c>
      <c r="C48" s="9" t="s">
        <v>14</v>
      </c>
      <c r="D48" s="11">
        <f>_xlfn.MAXIFS('6'!$I$4:$I$70,'6'!$C$4:$C$70,$B48,'6'!$D$4:$D$70,$C48)</f>
        <v>8.0745000000000005</v>
      </c>
      <c r="E48" s="11">
        <f>_xlfn.MINIFS('6'!$I$4:$I$70,'6'!$C$4:$C$70,$B48,'6'!$D$4:$D$70,$C48)</f>
        <v>8.0745000000000005</v>
      </c>
      <c r="F48" s="11">
        <f>_xlfn.MAXIFS('6'!$M$4:$M$70,'6'!$C$4:$C$70,$B48,'6'!$D$4:$D$70,$C48)</f>
        <v>-33.779499999999999</v>
      </c>
      <c r="G48" s="11">
        <f>_xlfn.MINIFS('6'!$M$4:$M$70,'6'!$C$4:$C$70,$B48,'6'!$D$4:$D$70,$C48)</f>
        <v>-54.773099999999999</v>
      </c>
      <c r="H48" s="11">
        <f>_xlfn.MAXIFS('6'!$H$4:$H$70,'6'!$C$4:$C$70,$B48,'6'!$D$4:$D$70,$C48)</f>
        <v>-455.14830000000001</v>
      </c>
      <c r="I48" s="11">
        <f>_xlfn.MINIFS('6'!$H$4:$H$70,'6'!$C$4:$C$70,$B48,'6'!$D$4:$D$70,$C48)</f>
        <v>-463.59829999999999</v>
      </c>
    </row>
    <row r="49" spans="1:9" x14ac:dyDescent="0.3">
      <c r="A49" s="9">
        <v>6</v>
      </c>
      <c r="B49" s="9" t="s">
        <v>42</v>
      </c>
      <c r="C49" s="9" t="s">
        <v>18</v>
      </c>
      <c r="D49" s="11">
        <f>_xlfn.MAXIFS('6'!$I$4:$I$70,'6'!$C$4:$C$70,$B49,'6'!$D$4:$D$70,$C49)</f>
        <v>4.4993999999999996</v>
      </c>
      <c r="E49" s="11">
        <f>_xlfn.MINIFS('6'!$I$4:$I$70,'6'!$C$4:$C$70,$B49,'6'!$D$4:$D$70,$C49)</f>
        <v>4.4993999999999996</v>
      </c>
      <c r="F49" s="11">
        <f>_xlfn.MAXIFS('6'!$M$4:$M$70,'6'!$C$4:$C$70,$B49,'6'!$D$4:$D$70,$C49)</f>
        <v>-13.538399999999999</v>
      </c>
      <c r="G49" s="11">
        <f>_xlfn.MINIFS('6'!$M$4:$M$70,'6'!$C$4:$C$70,$B49,'6'!$D$4:$D$70,$C49)</f>
        <v>-25.236799999999999</v>
      </c>
      <c r="H49" s="11">
        <f>_xlfn.MAXIFS('6'!$H$4:$H$70,'6'!$C$4:$C$70,$B49,'6'!$D$4:$D$70,$C49)</f>
        <v>-110.94670000000001</v>
      </c>
      <c r="I49" s="11">
        <f>_xlfn.MINIFS('6'!$H$4:$H$70,'6'!$C$4:$C$70,$B49,'6'!$D$4:$D$70,$C49)</f>
        <v>-110.94670000000001</v>
      </c>
    </row>
    <row r="50" spans="1:9" x14ac:dyDescent="0.3">
      <c r="A50" s="9">
        <v>6</v>
      </c>
      <c r="B50" s="9" t="s">
        <v>42</v>
      </c>
      <c r="C50" s="9" t="s">
        <v>19</v>
      </c>
      <c r="D50" s="11">
        <f>_xlfn.MAXIFS('6'!$I$4:$I$70,'6'!$C$4:$C$70,$B50,'6'!$D$4:$D$70,$C50)</f>
        <v>29.2864</v>
      </c>
      <c r="E50" s="11">
        <f>_xlfn.MINIFS('6'!$I$4:$I$70,'6'!$C$4:$C$70,$B50,'6'!$D$4:$D$70,$C50)</f>
        <v>29.2864</v>
      </c>
      <c r="F50" s="11">
        <f>_xlfn.MAXIFS('6'!$M$4:$M$70,'6'!$C$4:$C$70,$B50,'6'!$D$4:$D$70,$C50)</f>
        <v>396.78089999999997</v>
      </c>
      <c r="G50" s="11">
        <f>_xlfn.MINIFS('6'!$M$4:$M$70,'6'!$C$4:$C$70,$B50,'6'!$D$4:$D$70,$C50)</f>
        <v>349.58240000000001</v>
      </c>
      <c r="H50" s="11">
        <f>_xlfn.MAXIFS('6'!$H$4:$H$70,'6'!$C$4:$C$70,$B50,'6'!$D$4:$D$70,$C50)</f>
        <v>228.26169999999999</v>
      </c>
      <c r="I50" s="11">
        <f>_xlfn.MINIFS('6'!$H$4:$H$70,'6'!$C$4:$C$70,$B50,'6'!$D$4:$D$70,$C50)</f>
        <v>228.26169999999999</v>
      </c>
    </row>
    <row r="51" spans="1:9" x14ac:dyDescent="0.3">
      <c r="A51" s="9">
        <v>6</v>
      </c>
      <c r="B51" s="9" t="s">
        <v>42</v>
      </c>
      <c r="C51" s="9" t="s">
        <v>22</v>
      </c>
      <c r="D51" s="11">
        <f>_xlfn.MAXIFS('6'!$I$4:$I$70,'6'!$C$4:$C$70,$B51,'6'!$D$4:$D$70,$C51)</f>
        <v>12.005599999999999</v>
      </c>
      <c r="E51" s="11">
        <f>_xlfn.MINIFS('6'!$I$4:$I$70,'6'!$C$4:$C$70,$B51,'6'!$D$4:$D$70,$C51)</f>
        <v>12.005599999999999</v>
      </c>
      <c r="F51" s="11">
        <f>_xlfn.MAXIFS('6'!$M$4:$M$70,'6'!$C$4:$C$70,$B51,'6'!$D$4:$D$70,$C51)</f>
        <v>80.848600000000005</v>
      </c>
      <c r="G51" s="11">
        <f>_xlfn.MINIFS('6'!$M$4:$M$70,'6'!$C$4:$C$70,$B51,'6'!$D$4:$D$70,$C51)</f>
        <v>51.892000000000003</v>
      </c>
      <c r="H51" s="11">
        <f>_xlfn.MAXIFS('6'!$H$4:$H$70,'6'!$C$4:$C$70,$B51,'6'!$D$4:$D$70,$C51)</f>
        <v>63.952800000000003</v>
      </c>
      <c r="I51" s="11">
        <f>_xlfn.MINIFS('6'!$H$4:$H$70,'6'!$C$4:$C$70,$B51,'6'!$D$4:$D$70,$C51)</f>
        <v>63.952800000000003</v>
      </c>
    </row>
    <row r="52" spans="1:9" x14ac:dyDescent="0.3">
      <c r="A52" s="9">
        <v>6</v>
      </c>
      <c r="B52" s="9" t="s">
        <v>43</v>
      </c>
      <c r="C52" s="9" t="s">
        <v>14</v>
      </c>
      <c r="D52" s="11">
        <f>_xlfn.MAXIFS('6'!$I$4:$I$70,'6'!$C$4:$C$70,$B52,'6'!$D$4:$D$70,$C52)</f>
        <v>-0.75849999999999995</v>
      </c>
      <c r="E52" s="11">
        <f>_xlfn.MINIFS('6'!$I$4:$I$70,'6'!$C$4:$C$70,$B52,'6'!$D$4:$D$70,$C52)</f>
        <v>-0.75849999999999995</v>
      </c>
      <c r="F52" s="11">
        <f>_xlfn.MAXIFS('6'!$M$4:$M$70,'6'!$C$4:$C$70,$B52,'6'!$D$4:$D$70,$C52)</f>
        <v>18.674099999999999</v>
      </c>
      <c r="G52" s="11">
        <f>_xlfn.MINIFS('6'!$M$4:$M$70,'6'!$C$4:$C$70,$B52,'6'!$D$4:$D$70,$C52)</f>
        <v>16.701799999999999</v>
      </c>
      <c r="H52" s="11">
        <f>_xlfn.MAXIFS('6'!$H$4:$H$70,'6'!$C$4:$C$70,$B52,'6'!$D$4:$D$70,$C52)</f>
        <v>-745.35619999999994</v>
      </c>
      <c r="I52" s="11">
        <f>_xlfn.MINIFS('6'!$H$4:$H$70,'6'!$C$4:$C$70,$B52,'6'!$D$4:$D$70,$C52)</f>
        <v>-761.55740000000003</v>
      </c>
    </row>
    <row r="53" spans="1:9" x14ac:dyDescent="0.3">
      <c r="A53" s="9">
        <v>6</v>
      </c>
      <c r="B53" s="9" t="s">
        <v>43</v>
      </c>
      <c r="C53" s="9" t="s">
        <v>18</v>
      </c>
      <c r="D53" s="11">
        <f>_xlfn.MAXIFS('6'!$I$4:$I$70,'6'!$C$4:$C$70,$B53,'6'!$D$4:$D$70,$C53)</f>
        <v>-8.6067999999999998</v>
      </c>
      <c r="E53" s="11">
        <f>_xlfn.MINIFS('6'!$I$4:$I$70,'6'!$C$4:$C$70,$B53,'6'!$D$4:$D$70,$C53)</f>
        <v>-8.6067999999999998</v>
      </c>
      <c r="F53" s="11">
        <f>_xlfn.MAXIFS('6'!$M$4:$M$70,'6'!$C$4:$C$70,$B53,'6'!$D$4:$D$70,$C53)</f>
        <v>13.863099999999999</v>
      </c>
      <c r="G53" s="11">
        <f>_xlfn.MINIFS('6'!$M$4:$M$70,'6'!$C$4:$C$70,$B53,'6'!$D$4:$D$70,$C53)</f>
        <v>-8.5146999999999995</v>
      </c>
      <c r="H53" s="11">
        <f>_xlfn.MAXIFS('6'!$H$4:$H$70,'6'!$C$4:$C$70,$B53,'6'!$D$4:$D$70,$C53)</f>
        <v>-172.85759999999999</v>
      </c>
      <c r="I53" s="11">
        <f>_xlfn.MINIFS('6'!$H$4:$H$70,'6'!$C$4:$C$70,$B53,'6'!$D$4:$D$70,$C53)</f>
        <v>-172.85759999999999</v>
      </c>
    </row>
    <row r="54" spans="1:9" x14ac:dyDescent="0.3">
      <c r="A54" s="9">
        <v>6</v>
      </c>
      <c r="B54" s="9" t="s">
        <v>43</v>
      </c>
      <c r="C54" s="9" t="s">
        <v>19</v>
      </c>
      <c r="D54" s="11">
        <f>_xlfn.MAXIFS('6'!$I$4:$I$70,'6'!$C$4:$C$70,$B54,'6'!$D$4:$D$70,$C54)</f>
        <v>6.5387000000000004</v>
      </c>
      <c r="E54" s="11">
        <f>_xlfn.MINIFS('6'!$I$4:$I$70,'6'!$C$4:$C$70,$B54,'6'!$D$4:$D$70,$C54)</f>
        <v>6.5387000000000004</v>
      </c>
      <c r="F54" s="11">
        <f>_xlfn.MAXIFS('6'!$M$4:$M$70,'6'!$C$4:$C$70,$B54,'6'!$D$4:$D$70,$C54)</f>
        <v>163.52869999999999</v>
      </c>
      <c r="G54" s="11">
        <f>_xlfn.MINIFS('6'!$M$4:$M$70,'6'!$C$4:$C$70,$B54,'6'!$D$4:$D$70,$C54)</f>
        <v>159.3021</v>
      </c>
      <c r="H54" s="11">
        <f>_xlfn.MAXIFS('6'!$H$4:$H$70,'6'!$C$4:$C$70,$B54,'6'!$D$4:$D$70,$C54)</f>
        <v>327.98840000000001</v>
      </c>
      <c r="I54" s="11">
        <f>_xlfn.MINIFS('6'!$H$4:$H$70,'6'!$C$4:$C$70,$B54,'6'!$D$4:$D$70,$C54)</f>
        <v>327.98840000000001</v>
      </c>
    </row>
    <row r="55" spans="1:9" x14ac:dyDescent="0.3">
      <c r="A55" s="9">
        <v>6</v>
      </c>
      <c r="B55" s="9" t="s">
        <v>43</v>
      </c>
      <c r="C55" s="9" t="s">
        <v>22</v>
      </c>
      <c r="D55" s="11">
        <f>_xlfn.MAXIFS('6'!$I$4:$I$70,'6'!$C$4:$C$70,$B55,'6'!$D$4:$D$70,$C55)</f>
        <v>19.607299999999999</v>
      </c>
      <c r="E55" s="11">
        <f>_xlfn.MINIFS('6'!$I$4:$I$70,'6'!$C$4:$C$70,$B55,'6'!$D$4:$D$70,$C55)</f>
        <v>19.607299999999999</v>
      </c>
      <c r="F55" s="11">
        <f>_xlfn.MAXIFS('6'!$M$4:$M$70,'6'!$C$4:$C$70,$B55,'6'!$D$4:$D$70,$C55)</f>
        <v>122.806</v>
      </c>
      <c r="G55" s="11">
        <f>_xlfn.MINIFS('6'!$M$4:$M$70,'6'!$C$4:$C$70,$B55,'6'!$D$4:$D$70,$C55)</f>
        <v>86.735399999999998</v>
      </c>
      <c r="H55" s="11">
        <f>_xlfn.MAXIFS('6'!$H$4:$H$70,'6'!$C$4:$C$70,$B55,'6'!$D$4:$D$70,$C55)</f>
        <v>35.727200000000003</v>
      </c>
      <c r="I55" s="11">
        <f>_xlfn.MINIFS('6'!$H$4:$H$70,'6'!$C$4:$C$70,$B55,'6'!$D$4:$D$70,$C55)</f>
        <v>35.727200000000003</v>
      </c>
    </row>
    <row r="56" spans="1:9" x14ac:dyDescent="0.3">
      <c r="A56" s="14">
        <v>7</v>
      </c>
      <c r="B56" s="14" t="s">
        <v>44</v>
      </c>
      <c r="C56" s="14" t="s">
        <v>14</v>
      </c>
      <c r="D56" s="15">
        <f>_xlfn.MAXIFS('7'!$I$4:$I$70,'7'!$C$4:$C$70,$B56,'7'!$D$4:$D$70,$C56)</f>
        <v>-12.2362</v>
      </c>
      <c r="E56" s="15">
        <f>_xlfn.MINIFS('7'!$I$4:$I$70,'7'!$C$4:$C$70,$B56,'7'!$D$4:$D$70,$C56)</f>
        <v>-12.2362</v>
      </c>
      <c r="F56" s="15">
        <f>_xlfn.MAXIFS('7'!$M$4:$M$70,'7'!$C$4:$C$70,$B56,'7'!$D$4:$D$70,$C56)</f>
        <v>56.398699999999998</v>
      </c>
      <c r="G56" s="15">
        <f>_xlfn.MINIFS('7'!$M$4:$M$70,'7'!$C$4:$C$70,$B56,'7'!$D$4:$D$70,$C56)</f>
        <v>24.584499999999998</v>
      </c>
      <c r="H56" s="15">
        <f>_xlfn.MAXIFS('7'!$H$4:$H$70,'7'!$C$4:$C$70,$B56,'7'!$D$4:$D$70,$C56)</f>
        <v>-471.52390000000003</v>
      </c>
      <c r="I56" s="15">
        <f>_xlfn.MINIFS('7'!$H$4:$H$70,'7'!$C$4:$C$70,$B56,'7'!$D$4:$D$70,$C56)</f>
        <v>-480.55590000000001</v>
      </c>
    </row>
    <row r="57" spans="1:9" x14ac:dyDescent="0.3">
      <c r="A57" s="14">
        <v>7</v>
      </c>
      <c r="B57" s="14" t="s">
        <v>44</v>
      </c>
      <c r="C57" s="14" t="s">
        <v>18</v>
      </c>
      <c r="D57" s="15">
        <f>_xlfn.MAXIFS('7'!$I$4:$I$70,'7'!$C$4:$C$70,$B57,'7'!$D$4:$D$70,$C57)</f>
        <v>-3.9706999999999999</v>
      </c>
      <c r="E57" s="15">
        <f>_xlfn.MINIFS('7'!$I$4:$I$70,'7'!$C$4:$C$70,$B57,'7'!$D$4:$D$70,$C57)</f>
        <v>-3.9706999999999999</v>
      </c>
      <c r="F57" s="15">
        <f>_xlfn.MAXIFS('7'!$M$4:$M$70,'7'!$C$4:$C$70,$B57,'7'!$D$4:$D$70,$C57)</f>
        <v>17.141300000000001</v>
      </c>
      <c r="G57" s="15">
        <f>_xlfn.MINIFS('7'!$M$4:$M$70,'7'!$C$4:$C$70,$B57,'7'!$D$4:$D$70,$C57)</f>
        <v>6.8174000000000001</v>
      </c>
      <c r="H57" s="15">
        <f>_xlfn.MAXIFS('7'!$H$4:$H$70,'7'!$C$4:$C$70,$B57,'7'!$D$4:$D$70,$C57)</f>
        <v>-110.56910000000001</v>
      </c>
      <c r="I57" s="15">
        <f>_xlfn.MINIFS('7'!$H$4:$H$70,'7'!$C$4:$C$70,$B57,'7'!$D$4:$D$70,$C57)</f>
        <v>-110.56910000000001</v>
      </c>
    </row>
    <row r="58" spans="1:9" x14ac:dyDescent="0.3">
      <c r="A58" s="14">
        <v>7</v>
      </c>
      <c r="B58" s="14" t="s">
        <v>44</v>
      </c>
      <c r="C58" s="14" t="s">
        <v>19</v>
      </c>
      <c r="D58" s="15">
        <f>_xlfn.MAXIFS('7'!$I$4:$I$70,'7'!$C$4:$C$70,$B58,'7'!$D$4:$D$70,$C58)</f>
        <v>30.9407</v>
      </c>
      <c r="E58" s="15">
        <f>_xlfn.MINIFS('7'!$I$4:$I$70,'7'!$C$4:$C$70,$B58,'7'!$D$4:$D$70,$C58)</f>
        <v>30.9407</v>
      </c>
      <c r="F58" s="15">
        <f>_xlfn.MAXIFS('7'!$M$4:$M$70,'7'!$C$4:$C$70,$B58,'7'!$D$4:$D$70,$C58)</f>
        <v>466.8184</v>
      </c>
      <c r="G58" s="15">
        <f>_xlfn.MINIFS('7'!$M$4:$M$70,'7'!$C$4:$C$70,$B58,'7'!$D$4:$D$70,$C58)</f>
        <v>421.20310000000001</v>
      </c>
      <c r="H58" s="15">
        <f>_xlfn.MAXIFS('7'!$H$4:$H$70,'7'!$C$4:$C$70,$B58,'7'!$D$4:$D$70,$C58)</f>
        <v>179.72069999999999</v>
      </c>
      <c r="I58" s="15">
        <f>_xlfn.MINIFS('7'!$H$4:$H$70,'7'!$C$4:$C$70,$B58,'7'!$D$4:$D$70,$C58)</f>
        <v>179.72069999999999</v>
      </c>
    </row>
    <row r="59" spans="1:9" x14ac:dyDescent="0.3">
      <c r="A59" s="14">
        <v>7</v>
      </c>
      <c r="B59" s="14" t="s">
        <v>44</v>
      </c>
      <c r="C59" s="14" t="s">
        <v>22</v>
      </c>
      <c r="D59" s="15">
        <f>_xlfn.MAXIFS('7'!$I$4:$I$70,'7'!$C$4:$C$70,$B59,'7'!$D$4:$D$70,$C59)</f>
        <v>18.025700000000001</v>
      </c>
      <c r="E59" s="15">
        <f>_xlfn.MINIFS('7'!$I$4:$I$70,'7'!$C$4:$C$70,$B59,'7'!$D$4:$D$70,$C59)</f>
        <v>18.025700000000001</v>
      </c>
      <c r="F59" s="15">
        <f>_xlfn.MAXIFS('7'!$M$4:$M$70,'7'!$C$4:$C$70,$B59,'7'!$D$4:$D$70,$C59)</f>
        <v>139.32249999999999</v>
      </c>
      <c r="G59" s="15">
        <f>_xlfn.MINIFS('7'!$M$4:$M$70,'7'!$C$4:$C$70,$B59,'7'!$D$4:$D$70,$C59)</f>
        <v>92.595299999999995</v>
      </c>
      <c r="H59" s="15">
        <f>_xlfn.MAXIFS('7'!$H$4:$H$70,'7'!$C$4:$C$70,$B59,'7'!$D$4:$D$70,$C59)</f>
        <v>51.6858</v>
      </c>
      <c r="I59" s="15">
        <f>_xlfn.MINIFS('7'!$H$4:$H$70,'7'!$C$4:$C$70,$B59,'7'!$D$4:$D$70,$C59)</f>
        <v>51.6858</v>
      </c>
    </row>
    <row r="60" spans="1:9" x14ac:dyDescent="0.3">
      <c r="A60" s="14">
        <v>7</v>
      </c>
      <c r="B60" s="14" t="s">
        <v>45</v>
      </c>
      <c r="C60" s="14" t="s">
        <v>14</v>
      </c>
      <c r="D60" s="15">
        <f>_xlfn.MAXIFS('7'!$I$4:$I$70,'7'!$C$4:$C$70,$B60,'7'!$D$4:$D$70,$C60)</f>
        <v>-1.4415</v>
      </c>
      <c r="E60" s="15">
        <f>_xlfn.MINIFS('7'!$I$4:$I$70,'7'!$C$4:$C$70,$B60,'7'!$D$4:$D$70,$C60)</f>
        <v>-1.4415</v>
      </c>
      <c r="F60" s="15">
        <f>_xlfn.MAXIFS('7'!$M$4:$M$70,'7'!$C$4:$C$70,$B60,'7'!$D$4:$D$70,$C60)</f>
        <v>-3.1642000000000001</v>
      </c>
      <c r="G60" s="15">
        <f>_xlfn.MINIFS('7'!$M$4:$M$70,'7'!$C$4:$C$70,$B60,'7'!$D$4:$D$70,$C60)</f>
        <v>-6.9120999999999997</v>
      </c>
      <c r="H60" s="15">
        <f>_xlfn.MAXIFS('7'!$H$4:$H$70,'7'!$C$4:$C$70,$B60,'7'!$D$4:$D$70,$C60)</f>
        <v>-259.2312</v>
      </c>
      <c r="I60" s="15">
        <f>_xlfn.MINIFS('7'!$H$4:$H$70,'7'!$C$4:$C$70,$B60,'7'!$D$4:$D$70,$C60)</f>
        <v>-264.54489999999998</v>
      </c>
    </row>
    <row r="61" spans="1:9" x14ac:dyDescent="0.3">
      <c r="A61" s="14">
        <v>7</v>
      </c>
      <c r="B61" s="14" t="s">
        <v>45</v>
      </c>
      <c r="C61" s="14" t="s">
        <v>18</v>
      </c>
      <c r="D61" s="15">
        <f>_xlfn.MAXIFS('7'!$I$4:$I$70,'7'!$C$4:$C$70,$B61,'7'!$D$4:$D$70,$C61)</f>
        <v>-3.0756999999999999</v>
      </c>
      <c r="E61" s="15">
        <f>_xlfn.MINIFS('7'!$I$4:$I$70,'7'!$C$4:$C$70,$B61,'7'!$D$4:$D$70,$C61)</f>
        <v>-3.0756999999999999</v>
      </c>
      <c r="F61" s="15">
        <f>_xlfn.MAXIFS('7'!$M$4:$M$70,'7'!$C$4:$C$70,$B61,'7'!$D$4:$D$70,$C61)</f>
        <v>2.0179999999999998</v>
      </c>
      <c r="G61" s="15">
        <f>_xlfn.MINIFS('7'!$M$4:$M$70,'7'!$C$4:$C$70,$B61,'7'!$D$4:$D$70,$C61)</f>
        <v>-5.9789000000000003</v>
      </c>
      <c r="H61" s="15">
        <f>_xlfn.MAXIFS('7'!$H$4:$H$70,'7'!$C$4:$C$70,$B61,'7'!$D$4:$D$70,$C61)</f>
        <v>-60.246600000000001</v>
      </c>
      <c r="I61" s="15">
        <f>_xlfn.MINIFS('7'!$H$4:$H$70,'7'!$C$4:$C$70,$B61,'7'!$D$4:$D$70,$C61)</f>
        <v>-60.246600000000001</v>
      </c>
    </row>
    <row r="62" spans="1:9" x14ac:dyDescent="0.3">
      <c r="A62" s="14">
        <v>7</v>
      </c>
      <c r="B62" s="14" t="s">
        <v>45</v>
      </c>
      <c r="C62" s="14" t="s">
        <v>19</v>
      </c>
      <c r="D62" s="15">
        <f>_xlfn.MAXIFS('7'!$I$4:$I$70,'7'!$C$4:$C$70,$B62,'7'!$D$4:$D$70,$C62)</f>
        <v>1.7436</v>
      </c>
      <c r="E62" s="15">
        <f>_xlfn.MINIFS('7'!$I$4:$I$70,'7'!$C$4:$C$70,$B62,'7'!$D$4:$D$70,$C62)</f>
        <v>1.7436</v>
      </c>
      <c r="F62" s="15">
        <f>_xlfn.MAXIFS('7'!$M$4:$M$70,'7'!$C$4:$C$70,$B62,'7'!$D$4:$D$70,$C62)</f>
        <v>14.657999999999999</v>
      </c>
      <c r="G62" s="15">
        <f>_xlfn.MINIFS('7'!$M$4:$M$70,'7'!$C$4:$C$70,$B62,'7'!$D$4:$D$70,$C62)</f>
        <v>11.833</v>
      </c>
      <c r="H62" s="15">
        <f>_xlfn.MAXIFS('7'!$H$4:$H$70,'7'!$C$4:$C$70,$B62,'7'!$D$4:$D$70,$C62)</f>
        <v>147.52449999999999</v>
      </c>
      <c r="I62" s="15">
        <f>_xlfn.MINIFS('7'!$H$4:$H$70,'7'!$C$4:$C$70,$B62,'7'!$D$4:$D$70,$C62)</f>
        <v>147.52449999999999</v>
      </c>
    </row>
    <row r="63" spans="1:9" x14ac:dyDescent="0.3">
      <c r="A63" s="14">
        <v>7</v>
      </c>
      <c r="B63" s="14" t="s">
        <v>45</v>
      </c>
      <c r="C63" s="14" t="s">
        <v>22</v>
      </c>
      <c r="D63" s="15">
        <f>_xlfn.MAXIFS('7'!$I$4:$I$70,'7'!$C$4:$C$70,$B63,'7'!$D$4:$D$70,$C63)</f>
        <v>7.0010000000000003</v>
      </c>
      <c r="E63" s="15">
        <f>_xlfn.MINIFS('7'!$I$4:$I$70,'7'!$C$4:$C$70,$B63,'7'!$D$4:$D$70,$C63)</f>
        <v>7.0010000000000003</v>
      </c>
      <c r="F63" s="15">
        <f>_xlfn.MAXIFS('7'!$M$4:$M$70,'7'!$C$4:$C$70,$B63,'7'!$D$4:$D$70,$C63)</f>
        <v>65.213099999999997</v>
      </c>
      <c r="G63" s="15">
        <f>_xlfn.MINIFS('7'!$M$4:$M$70,'7'!$C$4:$C$70,$B63,'7'!$D$4:$D$70,$C63)</f>
        <v>48.119500000000002</v>
      </c>
      <c r="H63" s="15">
        <f>_xlfn.MAXIFS('7'!$H$4:$H$70,'7'!$C$4:$C$70,$B63,'7'!$D$4:$D$70,$C63)</f>
        <v>46.881599999999999</v>
      </c>
      <c r="I63" s="15">
        <f>_xlfn.MINIFS('7'!$H$4:$H$70,'7'!$C$4:$C$70,$B63,'7'!$D$4:$D$70,$C63)</f>
        <v>46.881599999999999</v>
      </c>
    </row>
    <row r="64" spans="1:9" x14ac:dyDescent="0.3">
      <c r="A64" s="9">
        <v>8</v>
      </c>
      <c r="B64" s="9" t="s">
        <v>46</v>
      </c>
      <c r="C64" s="9" t="s">
        <v>14</v>
      </c>
      <c r="D64" s="11">
        <f>_xlfn.MAXIFS('8'!$I$4:$I$138,'8'!$C$4:$C$138,$B64,'8'!$D$4:$D$138,$C64)</f>
        <v>9.0582999999999991</v>
      </c>
      <c r="E64" s="11">
        <f>_xlfn.MINIFS('8'!$I$4:$I$138,'8'!$C$4:$C$138,$B64,'8'!$D$4:$D$138,$C64)</f>
        <v>9.0582999999999991</v>
      </c>
      <c r="F64" s="11">
        <f>_xlfn.MAXIFS('8'!$M$4:$M$138,'8'!$C$4:$C$138,$B64,'8'!$D$4:$D$138,$C64)</f>
        <v>-44.198900000000002</v>
      </c>
      <c r="G64" s="11">
        <f>_xlfn.MINIFS('8'!$M$4:$M$138,'8'!$C$4:$C$138,$B64,'8'!$D$4:$D$138,$C64)</f>
        <v>-67.750500000000002</v>
      </c>
      <c r="H64" s="11">
        <f>_xlfn.MAXIFS('8'!$H$4:$H$138,'8'!$C$4:$C$138,$B64,'8'!$D$4:$D$138,$C64)</f>
        <v>-224.71369999999999</v>
      </c>
      <c r="I64" s="11">
        <f>_xlfn.MINIFS('8'!$H$4:$H$138,'8'!$C$4:$C$138,$B64,'8'!$D$4:$D$138,$C64)</f>
        <v>-233.40360000000001</v>
      </c>
    </row>
    <row r="65" spans="1:9" x14ac:dyDescent="0.3">
      <c r="A65" s="9">
        <v>8</v>
      </c>
      <c r="B65" s="9" t="s">
        <v>46</v>
      </c>
      <c r="C65" s="9" t="s">
        <v>18</v>
      </c>
      <c r="D65" s="11">
        <f>_xlfn.MAXIFS('8'!$I$4:$I$138,'8'!$C$4:$C$138,$B65,'8'!$D$4:$D$138,$C65)</f>
        <v>1.3734</v>
      </c>
      <c r="E65" s="11">
        <f>_xlfn.MINIFS('8'!$I$4:$I$138,'8'!$C$4:$C$138,$B65,'8'!$D$4:$D$138,$C65)</f>
        <v>1.3734</v>
      </c>
      <c r="F65" s="11">
        <f>_xlfn.MAXIFS('8'!$M$4:$M$138,'8'!$C$4:$C$138,$B65,'8'!$D$4:$D$138,$C65)</f>
        <v>-6.6043000000000003</v>
      </c>
      <c r="G65" s="11">
        <f>_xlfn.MINIFS('8'!$M$4:$M$138,'8'!$C$4:$C$138,$B65,'8'!$D$4:$D$138,$C65)</f>
        <v>-10.1751</v>
      </c>
      <c r="H65" s="11">
        <f>_xlfn.MAXIFS('8'!$H$4:$H$138,'8'!$C$4:$C$138,$B65,'8'!$D$4:$D$138,$C65)</f>
        <v>-54.035499999999999</v>
      </c>
      <c r="I65" s="11">
        <f>_xlfn.MINIFS('8'!$H$4:$H$138,'8'!$C$4:$C$138,$B65,'8'!$D$4:$D$138,$C65)</f>
        <v>-54.035499999999999</v>
      </c>
    </row>
    <row r="66" spans="1:9" x14ac:dyDescent="0.3">
      <c r="A66" s="9">
        <v>8</v>
      </c>
      <c r="B66" s="9" t="s">
        <v>46</v>
      </c>
      <c r="C66" s="9" t="s">
        <v>19</v>
      </c>
      <c r="D66" s="11">
        <f>_xlfn.MAXIFS('8'!$I$4:$I$138,'8'!$C$4:$C$138,$B66,'8'!$D$4:$D$138,$C66)</f>
        <v>13.421200000000001</v>
      </c>
      <c r="E66" s="11">
        <f>_xlfn.MINIFS('8'!$I$4:$I$138,'8'!$C$4:$C$138,$B66,'8'!$D$4:$D$138,$C66)</f>
        <v>13.421200000000001</v>
      </c>
      <c r="F66" s="11">
        <f>_xlfn.MAXIFS('8'!$M$4:$M$138,'8'!$C$4:$C$138,$B66,'8'!$D$4:$D$138,$C66)</f>
        <v>333.3879</v>
      </c>
      <c r="G66" s="11">
        <f>_xlfn.MINIFS('8'!$M$4:$M$138,'8'!$C$4:$C$138,$B66,'8'!$D$4:$D$138,$C66)</f>
        <v>322.44580000000002</v>
      </c>
      <c r="H66" s="11">
        <f>_xlfn.MAXIFS('8'!$H$4:$H$138,'8'!$C$4:$C$138,$B66,'8'!$D$4:$D$138,$C66)</f>
        <v>47.942</v>
      </c>
      <c r="I66" s="11">
        <f>_xlfn.MINIFS('8'!$H$4:$H$138,'8'!$C$4:$C$138,$B66,'8'!$D$4:$D$138,$C66)</f>
        <v>47.942</v>
      </c>
    </row>
    <row r="67" spans="1:9" x14ac:dyDescent="0.3">
      <c r="A67" s="9">
        <v>8</v>
      </c>
      <c r="B67" s="9" t="s">
        <v>46</v>
      </c>
      <c r="C67" s="9" t="s">
        <v>22</v>
      </c>
      <c r="D67" s="11">
        <f>_xlfn.MAXIFS('8'!$I$4:$I$138,'8'!$C$4:$C$138,$B67,'8'!$D$4:$D$138,$C67)</f>
        <v>6.6257000000000001</v>
      </c>
      <c r="E67" s="11">
        <f>_xlfn.MINIFS('8'!$I$4:$I$138,'8'!$C$4:$C$138,$B67,'8'!$D$4:$D$138,$C67)</f>
        <v>6.6257000000000001</v>
      </c>
      <c r="F67" s="11">
        <f>_xlfn.MAXIFS('8'!$M$4:$M$138,'8'!$C$4:$C$138,$B67,'8'!$D$4:$D$138,$C67)</f>
        <v>66.921700000000001</v>
      </c>
      <c r="G67" s="11">
        <f>_xlfn.MINIFS('8'!$M$4:$M$138,'8'!$C$4:$C$138,$B67,'8'!$D$4:$D$138,$C67)</f>
        <v>50.122799999999998</v>
      </c>
      <c r="H67" s="11">
        <f>_xlfn.MAXIFS('8'!$H$4:$H$138,'8'!$C$4:$C$138,$B67,'8'!$D$4:$D$138,$C67)</f>
        <v>154.79750000000001</v>
      </c>
      <c r="I67" s="11">
        <f>_xlfn.MINIFS('8'!$H$4:$H$138,'8'!$C$4:$C$138,$B67,'8'!$D$4:$D$138,$C67)</f>
        <v>154.79750000000001</v>
      </c>
    </row>
    <row r="68" spans="1:9" x14ac:dyDescent="0.3">
      <c r="A68" s="9">
        <v>8</v>
      </c>
      <c r="B68" s="9" t="s">
        <v>47</v>
      </c>
      <c r="C68" s="9" t="s">
        <v>14</v>
      </c>
      <c r="D68" s="11">
        <f>_xlfn.MAXIFS('8'!$I$4:$I$138,'8'!$C$4:$C$138,$B68,'8'!$D$4:$D$138,$C68)</f>
        <v>-0.67049999999999998</v>
      </c>
      <c r="E68" s="11">
        <f>_xlfn.MINIFS('8'!$I$4:$I$138,'8'!$C$4:$C$138,$B68,'8'!$D$4:$D$138,$C68)</f>
        <v>-0.67049999999999998</v>
      </c>
      <c r="F68" s="11">
        <f>_xlfn.MAXIFS('8'!$M$4:$M$138,'8'!$C$4:$C$138,$B68,'8'!$D$4:$D$138,$C68)</f>
        <v>-16.274000000000001</v>
      </c>
      <c r="G68" s="11">
        <f>_xlfn.MINIFS('8'!$M$4:$M$138,'8'!$C$4:$C$138,$B68,'8'!$D$4:$D$138,$C68)</f>
        <v>-18.017299999999999</v>
      </c>
      <c r="H68" s="11">
        <f>_xlfn.MAXIFS('8'!$H$4:$H$138,'8'!$C$4:$C$138,$B68,'8'!$D$4:$D$138,$C68)</f>
        <v>-379.60899999999998</v>
      </c>
      <c r="I68" s="11">
        <f>_xlfn.MINIFS('8'!$H$4:$H$138,'8'!$C$4:$C$138,$B68,'8'!$D$4:$D$138,$C68)</f>
        <v>-388.29840000000002</v>
      </c>
    </row>
    <row r="69" spans="1:9" x14ac:dyDescent="0.3">
      <c r="A69" s="9">
        <v>8</v>
      </c>
      <c r="B69" s="9" t="s">
        <v>47</v>
      </c>
      <c r="C69" s="9" t="s">
        <v>18</v>
      </c>
      <c r="D69" s="11">
        <f>_xlfn.MAXIFS('8'!$I$4:$I$138,'8'!$C$4:$C$138,$B69,'8'!$D$4:$D$138,$C69)</f>
        <v>0.94240000000000002</v>
      </c>
      <c r="E69" s="11">
        <f>_xlfn.MINIFS('8'!$I$4:$I$138,'8'!$C$4:$C$138,$B69,'8'!$D$4:$D$138,$C69)</f>
        <v>0.94240000000000002</v>
      </c>
      <c r="F69" s="11">
        <f>_xlfn.MAXIFS('8'!$M$4:$M$138,'8'!$C$4:$C$138,$B69,'8'!$D$4:$D$138,$C69)</f>
        <v>-2.7081</v>
      </c>
      <c r="G69" s="11">
        <f>_xlfn.MINIFS('8'!$M$4:$M$138,'8'!$C$4:$C$138,$B69,'8'!$D$4:$D$138,$C69)</f>
        <v>-5.1584000000000003</v>
      </c>
      <c r="H69" s="11">
        <f>_xlfn.MAXIFS('8'!$H$4:$H$138,'8'!$C$4:$C$138,$B69,'8'!$D$4:$D$138,$C69)</f>
        <v>-84.730400000000003</v>
      </c>
      <c r="I69" s="11">
        <f>_xlfn.MINIFS('8'!$H$4:$H$138,'8'!$C$4:$C$138,$B69,'8'!$D$4:$D$138,$C69)</f>
        <v>-84.730400000000003</v>
      </c>
    </row>
    <row r="70" spans="1:9" x14ac:dyDescent="0.3">
      <c r="A70" s="9">
        <v>8</v>
      </c>
      <c r="B70" s="9" t="s">
        <v>47</v>
      </c>
      <c r="C70" s="9" t="s">
        <v>19</v>
      </c>
      <c r="D70" s="11">
        <f>_xlfn.MAXIFS('8'!$I$4:$I$138,'8'!$C$4:$C$138,$B70,'8'!$D$4:$D$138,$C70)</f>
        <v>26.029800000000002</v>
      </c>
      <c r="E70" s="11">
        <f>_xlfn.MINIFS('8'!$I$4:$I$138,'8'!$C$4:$C$138,$B70,'8'!$D$4:$D$138,$C70)</f>
        <v>26.029800000000002</v>
      </c>
      <c r="F70" s="11">
        <f>_xlfn.MAXIFS('8'!$M$4:$M$138,'8'!$C$4:$C$138,$B70,'8'!$D$4:$D$138,$C70)</f>
        <v>446.96510000000001</v>
      </c>
      <c r="G70" s="11">
        <f>_xlfn.MINIFS('8'!$M$4:$M$138,'8'!$C$4:$C$138,$B70,'8'!$D$4:$D$138,$C70)</f>
        <v>399.58839999999998</v>
      </c>
      <c r="H70" s="11">
        <f>_xlfn.MAXIFS('8'!$H$4:$H$138,'8'!$C$4:$C$138,$B70,'8'!$D$4:$D$138,$C70)</f>
        <v>80.748800000000003</v>
      </c>
      <c r="I70" s="11">
        <f>_xlfn.MINIFS('8'!$H$4:$H$138,'8'!$C$4:$C$138,$B70,'8'!$D$4:$D$138,$C70)</f>
        <v>80.748800000000003</v>
      </c>
    </row>
    <row r="71" spans="1:9" x14ac:dyDescent="0.3">
      <c r="A71" s="9">
        <v>8</v>
      </c>
      <c r="B71" s="9" t="s">
        <v>47</v>
      </c>
      <c r="C71" s="9" t="s">
        <v>22</v>
      </c>
      <c r="D71" s="11">
        <f>_xlfn.MAXIFS('8'!$I$4:$I$138,'8'!$C$4:$C$138,$B71,'8'!$D$4:$D$138,$C71)</f>
        <v>17.0077</v>
      </c>
      <c r="E71" s="11">
        <f>_xlfn.MINIFS('8'!$I$4:$I$138,'8'!$C$4:$C$138,$B71,'8'!$D$4:$D$138,$C71)</f>
        <v>17.0077</v>
      </c>
      <c r="F71" s="11">
        <f>_xlfn.MAXIFS('8'!$M$4:$M$138,'8'!$C$4:$C$138,$B71,'8'!$D$4:$D$138,$C71)</f>
        <v>67.193299999999994</v>
      </c>
      <c r="G71" s="11">
        <f>_xlfn.MINIFS('8'!$M$4:$M$138,'8'!$C$4:$C$138,$B71,'8'!$D$4:$D$138,$C71)</f>
        <v>23.9298</v>
      </c>
      <c r="H71" s="11">
        <f>_xlfn.MAXIFS('8'!$H$4:$H$138,'8'!$C$4:$C$138,$B71,'8'!$D$4:$D$138,$C71)</f>
        <v>99.383700000000005</v>
      </c>
      <c r="I71" s="11">
        <f>_xlfn.MINIFS('8'!$H$4:$H$138,'8'!$C$4:$C$138,$B71,'8'!$D$4:$D$138,$C71)</f>
        <v>99.383700000000005</v>
      </c>
    </row>
    <row r="72" spans="1:9" x14ac:dyDescent="0.3">
      <c r="A72" s="9">
        <v>8</v>
      </c>
      <c r="B72" s="9" t="s">
        <v>48</v>
      </c>
      <c r="C72" s="9" t="s">
        <v>14</v>
      </c>
      <c r="D72" s="11">
        <f>_xlfn.MAXIFS('8'!$I$4:$I$138,'8'!$C$4:$C$138,$B72,'8'!$D$4:$D$138,$C72)</f>
        <v>7.2934000000000001</v>
      </c>
      <c r="E72" s="11">
        <f>_xlfn.MINIFS('8'!$I$4:$I$138,'8'!$C$4:$C$138,$B72,'8'!$D$4:$D$138,$C72)</f>
        <v>7.2934000000000001</v>
      </c>
      <c r="F72" s="11">
        <f>_xlfn.MAXIFS('8'!$M$4:$M$138,'8'!$C$4:$C$138,$B72,'8'!$D$4:$D$138,$C72)</f>
        <v>-14.655799999999999</v>
      </c>
      <c r="G72" s="11">
        <f>_xlfn.MINIFS('8'!$M$4:$M$138,'8'!$C$4:$C$138,$B72,'8'!$D$4:$D$138,$C72)</f>
        <v>-33.618699999999997</v>
      </c>
      <c r="H72" s="11">
        <f>_xlfn.MAXIFS('8'!$H$4:$H$138,'8'!$C$4:$C$138,$B72,'8'!$D$4:$D$138,$C72)</f>
        <v>-206.28</v>
      </c>
      <c r="I72" s="11">
        <f>_xlfn.MINIFS('8'!$H$4:$H$138,'8'!$C$4:$C$138,$B72,'8'!$D$4:$D$138,$C72)</f>
        <v>-212.29249999999999</v>
      </c>
    </row>
    <row r="73" spans="1:9" x14ac:dyDescent="0.3">
      <c r="A73" s="9">
        <v>8</v>
      </c>
      <c r="B73" s="9" t="s">
        <v>48</v>
      </c>
      <c r="C73" s="9" t="s">
        <v>18</v>
      </c>
      <c r="D73" s="11">
        <f>_xlfn.MAXIFS('8'!$I$4:$I$138,'8'!$C$4:$C$138,$B73,'8'!$D$4:$D$138,$C73)</f>
        <v>-1.3471</v>
      </c>
      <c r="E73" s="11">
        <f>_xlfn.MINIFS('8'!$I$4:$I$138,'8'!$C$4:$C$138,$B73,'8'!$D$4:$D$138,$C73)</f>
        <v>-1.3471</v>
      </c>
      <c r="F73" s="11">
        <f>_xlfn.MAXIFS('8'!$M$4:$M$138,'8'!$C$4:$C$138,$B73,'8'!$D$4:$D$138,$C73)</f>
        <v>-3.7997000000000001</v>
      </c>
      <c r="G73" s="11">
        <f>_xlfn.MINIFS('8'!$M$4:$M$138,'8'!$C$4:$C$138,$B73,'8'!$D$4:$D$138,$C73)</f>
        <v>-7.3022</v>
      </c>
      <c r="H73" s="11">
        <f>_xlfn.MAXIFS('8'!$H$4:$H$138,'8'!$C$4:$C$138,$B73,'8'!$D$4:$D$138,$C73)</f>
        <v>-46.375900000000001</v>
      </c>
      <c r="I73" s="11">
        <f>_xlfn.MINIFS('8'!$H$4:$H$138,'8'!$C$4:$C$138,$B73,'8'!$D$4:$D$138,$C73)</f>
        <v>-46.375900000000001</v>
      </c>
    </row>
    <row r="74" spans="1:9" x14ac:dyDescent="0.3">
      <c r="A74" s="9">
        <v>8</v>
      </c>
      <c r="B74" s="9" t="s">
        <v>48</v>
      </c>
      <c r="C74" s="9" t="s">
        <v>19</v>
      </c>
      <c r="D74" s="11">
        <f>_xlfn.MAXIFS('8'!$I$4:$I$138,'8'!$C$4:$C$138,$B74,'8'!$D$4:$D$138,$C74)</f>
        <v>7.1407999999999996</v>
      </c>
      <c r="E74" s="11">
        <f>_xlfn.MINIFS('8'!$I$4:$I$138,'8'!$C$4:$C$138,$B74,'8'!$D$4:$D$138,$C74)</f>
        <v>7.1407999999999996</v>
      </c>
      <c r="F74" s="11">
        <f>_xlfn.MAXIFS('8'!$M$4:$M$138,'8'!$C$4:$C$138,$B74,'8'!$D$4:$D$138,$C74)</f>
        <v>22.606200000000001</v>
      </c>
      <c r="G74" s="11">
        <f>_xlfn.MINIFS('8'!$M$4:$M$138,'8'!$C$4:$C$138,$B74,'8'!$D$4:$D$138,$C74)</f>
        <v>6.0701000000000001</v>
      </c>
      <c r="H74" s="11">
        <f>_xlfn.MAXIFS('8'!$H$4:$H$138,'8'!$C$4:$C$138,$B74,'8'!$D$4:$D$138,$C74)</f>
        <v>36.364400000000003</v>
      </c>
      <c r="I74" s="11">
        <f>_xlfn.MINIFS('8'!$H$4:$H$138,'8'!$C$4:$C$138,$B74,'8'!$D$4:$D$138,$C74)</f>
        <v>36.364400000000003</v>
      </c>
    </row>
    <row r="75" spans="1:9" x14ac:dyDescent="0.3">
      <c r="A75" s="9">
        <v>8</v>
      </c>
      <c r="B75" s="9" t="s">
        <v>48</v>
      </c>
      <c r="C75" s="9" t="s">
        <v>22</v>
      </c>
      <c r="D75" s="11">
        <f>_xlfn.MAXIFS('8'!$I$4:$I$138,'8'!$C$4:$C$138,$B75,'8'!$D$4:$D$138,$C75)</f>
        <v>6.4184000000000001</v>
      </c>
      <c r="E75" s="11">
        <f>_xlfn.MINIFS('8'!$I$4:$I$138,'8'!$C$4:$C$138,$B75,'8'!$D$4:$D$138,$C75)</f>
        <v>6.4184000000000001</v>
      </c>
      <c r="F75" s="11">
        <f>_xlfn.MAXIFS('8'!$M$4:$M$138,'8'!$C$4:$C$138,$B75,'8'!$D$4:$D$138,$C75)</f>
        <v>69.269800000000004</v>
      </c>
      <c r="G75" s="11">
        <f>_xlfn.MINIFS('8'!$M$4:$M$138,'8'!$C$4:$C$138,$B75,'8'!$D$4:$D$138,$C75)</f>
        <v>64.852500000000006</v>
      </c>
      <c r="H75" s="11">
        <f>_xlfn.MAXIFS('8'!$H$4:$H$138,'8'!$C$4:$C$138,$B75,'8'!$D$4:$D$138,$C75)</f>
        <v>12.819100000000001</v>
      </c>
      <c r="I75" s="11">
        <f>_xlfn.MINIFS('8'!$H$4:$H$138,'8'!$C$4:$C$138,$B75,'8'!$D$4:$D$138,$C75)</f>
        <v>12.819100000000001</v>
      </c>
    </row>
    <row r="76" spans="1:9" x14ac:dyDescent="0.3">
      <c r="A76" s="9">
        <v>8</v>
      </c>
      <c r="B76" s="9" t="s">
        <v>52</v>
      </c>
      <c r="C76" s="9" t="s">
        <v>14</v>
      </c>
      <c r="D76" s="11">
        <f>_xlfn.MAXIFS('8'!$I$4:$I$138,'8'!$C$4:$C$138,$B76,'8'!$D$4:$D$138,$C76)</f>
        <v>20.1401</v>
      </c>
      <c r="E76" s="11">
        <f>_xlfn.MINIFS('8'!$I$4:$I$138,'8'!$C$4:$C$138,$B76,'8'!$D$4:$D$138,$C76)</f>
        <v>20.1401</v>
      </c>
      <c r="F76" s="11">
        <f>_xlfn.MAXIFS('8'!$M$4:$M$138,'8'!$C$4:$C$138,$B76,'8'!$D$4:$D$138,$C76)</f>
        <v>-4.7388000000000003</v>
      </c>
      <c r="G76" s="11">
        <f>_xlfn.MINIFS('8'!$M$4:$M$138,'8'!$C$4:$C$138,$B76,'8'!$D$4:$D$138,$C76)</f>
        <v>-57.103000000000002</v>
      </c>
      <c r="H76" s="11">
        <f>_xlfn.MAXIFS('8'!$H$4:$H$138,'8'!$C$4:$C$138,$B76,'8'!$D$4:$D$138,$C76)</f>
        <v>-174.8869</v>
      </c>
      <c r="I76" s="11">
        <f>_xlfn.MINIFS('8'!$H$4:$H$138,'8'!$C$4:$C$138,$B76,'8'!$D$4:$D$138,$C76)</f>
        <v>-181.74440000000001</v>
      </c>
    </row>
    <row r="77" spans="1:9" x14ac:dyDescent="0.3">
      <c r="A77" s="9">
        <v>8</v>
      </c>
      <c r="B77" s="9" t="s">
        <v>52</v>
      </c>
      <c r="C77" s="9" t="s">
        <v>18</v>
      </c>
      <c r="D77" s="11">
        <f>_xlfn.MAXIFS('8'!$I$4:$I$138,'8'!$C$4:$C$138,$B77,'8'!$D$4:$D$138,$C77)</f>
        <v>1.9641999999999999</v>
      </c>
      <c r="E77" s="11">
        <f>_xlfn.MINIFS('8'!$I$4:$I$138,'8'!$C$4:$C$138,$B77,'8'!$D$4:$D$138,$C77)</f>
        <v>1.9641999999999999</v>
      </c>
      <c r="F77" s="11">
        <f>_xlfn.MAXIFS('8'!$M$4:$M$138,'8'!$C$4:$C$138,$B77,'8'!$D$4:$D$138,$C77)</f>
        <v>-5.5900999999999996</v>
      </c>
      <c r="G77" s="11">
        <f>_xlfn.MINIFS('8'!$M$4:$M$138,'8'!$C$4:$C$138,$B77,'8'!$D$4:$D$138,$C77)</f>
        <v>-10.697100000000001</v>
      </c>
      <c r="H77" s="11">
        <f>_xlfn.MAXIFS('8'!$H$4:$H$138,'8'!$C$4:$C$138,$B77,'8'!$D$4:$D$138,$C77)</f>
        <v>-36.448099999999997</v>
      </c>
      <c r="I77" s="11">
        <f>_xlfn.MINIFS('8'!$H$4:$H$138,'8'!$C$4:$C$138,$B77,'8'!$D$4:$D$138,$C77)</f>
        <v>-36.448099999999997</v>
      </c>
    </row>
    <row r="78" spans="1:9" x14ac:dyDescent="0.3">
      <c r="A78" s="9">
        <v>8</v>
      </c>
      <c r="B78" s="9" t="s">
        <v>52</v>
      </c>
      <c r="C78" s="9" t="s">
        <v>19</v>
      </c>
      <c r="D78" s="11">
        <f>_xlfn.MAXIFS('8'!$I$4:$I$138,'8'!$C$4:$C$138,$B78,'8'!$D$4:$D$138,$C78)</f>
        <v>13.635899999999999</v>
      </c>
      <c r="E78" s="11">
        <f>_xlfn.MINIFS('8'!$I$4:$I$138,'8'!$C$4:$C$138,$B78,'8'!$D$4:$D$138,$C78)</f>
        <v>13.635899999999999</v>
      </c>
      <c r="F78" s="11">
        <f>_xlfn.MAXIFS('8'!$M$4:$M$138,'8'!$C$4:$C$138,$B78,'8'!$D$4:$D$138,$C78)</f>
        <v>23.6282</v>
      </c>
      <c r="G78" s="11">
        <f>_xlfn.MINIFS('8'!$M$4:$M$138,'8'!$C$4:$C$138,$B78,'8'!$D$4:$D$138,$C78)</f>
        <v>14.8871</v>
      </c>
      <c r="H78" s="11">
        <f>_xlfn.MAXIFS('8'!$H$4:$H$138,'8'!$C$4:$C$138,$B78,'8'!$D$4:$D$138,$C78)</f>
        <v>228.95050000000001</v>
      </c>
      <c r="I78" s="11">
        <f>_xlfn.MINIFS('8'!$H$4:$H$138,'8'!$C$4:$C$138,$B78,'8'!$D$4:$D$138,$C78)</f>
        <v>228.95050000000001</v>
      </c>
    </row>
    <row r="79" spans="1:9" x14ac:dyDescent="0.3">
      <c r="A79" s="9">
        <v>8</v>
      </c>
      <c r="B79" s="9" t="s">
        <v>52</v>
      </c>
      <c r="C79" s="9" t="s">
        <v>22</v>
      </c>
      <c r="D79" s="11">
        <f>_xlfn.MAXIFS('8'!$I$4:$I$138,'8'!$C$4:$C$138,$B79,'8'!$D$4:$D$138,$C79)</f>
        <v>27.8599</v>
      </c>
      <c r="E79" s="11">
        <f>_xlfn.MINIFS('8'!$I$4:$I$138,'8'!$C$4:$C$138,$B79,'8'!$D$4:$D$138,$C79)</f>
        <v>27.8599</v>
      </c>
      <c r="F79" s="11">
        <f>_xlfn.MAXIFS('8'!$M$4:$M$138,'8'!$C$4:$C$138,$B79,'8'!$D$4:$D$138,$C79)</f>
        <v>44.6753</v>
      </c>
      <c r="G79" s="11">
        <f>_xlfn.MINIFS('8'!$M$4:$M$138,'8'!$C$4:$C$138,$B79,'8'!$D$4:$D$138,$C79)</f>
        <v>29.712800000000001</v>
      </c>
      <c r="H79" s="11">
        <f>_xlfn.MAXIFS('8'!$H$4:$H$138,'8'!$C$4:$C$138,$B79,'8'!$D$4:$D$138,$C79)</f>
        <v>18.403199999999998</v>
      </c>
      <c r="I79" s="11">
        <f>_xlfn.MINIFS('8'!$H$4:$H$138,'8'!$C$4:$C$138,$B79,'8'!$D$4:$D$138,$C79)</f>
        <v>18.403199999999998</v>
      </c>
    </row>
    <row r="80" spans="1:9" x14ac:dyDescent="0.3">
      <c r="A80" s="14">
        <v>9</v>
      </c>
      <c r="B80" s="14" t="s">
        <v>49</v>
      </c>
      <c r="C80" s="14" t="s">
        <v>14</v>
      </c>
      <c r="D80" s="15">
        <f>_xlfn.MAXIFS('9'!$I$4:$I$70,'9'!$C$4:$C$70,$B80,'9'!$D$4:$D$70,$C80)</f>
        <v>11.682600000000001</v>
      </c>
      <c r="E80" s="15">
        <f>_xlfn.MINIFS('9'!$I$4:$I$70,'9'!$C$4:$C$70,$B80,'9'!$D$4:$D$70,$C80)</f>
        <v>11.682600000000001</v>
      </c>
      <c r="F80" s="15">
        <f>_xlfn.MAXIFS('9'!$M$4:$M$70,'9'!$C$4:$C$70,$B80,'9'!$D$4:$D$70,$C80)</f>
        <v>-40.819499999999998</v>
      </c>
      <c r="G80" s="15">
        <f>_xlfn.MINIFS('9'!$M$4:$M$70,'9'!$C$4:$C$70,$B80,'9'!$D$4:$D$70,$C80)</f>
        <v>-71.194299999999998</v>
      </c>
      <c r="H80" s="15">
        <f>_xlfn.MAXIFS('9'!$H$4:$H$70,'9'!$C$4:$C$70,$B80,'9'!$D$4:$D$70,$C80)</f>
        <v>-455.21609999999998</v>
      </c>
      <c r="I80" s="15">
        <f>_xlfn.MINIFS('9'!$H$4:$H$70,'9'!$C$4:$C$70,$B80,'9'!$D$4:$D$70,$C80)</f>
        <v>-463.66609999999997</v>
      </c>
    </row>
    <row r="81" spans="1:9" x14ac:dyDescent="0.3">
      <c r="A81" s="14">
        <v>9</v>
      </c>
      <c r="B81" s="14" t="s">
        <v>49</v>
      </c>
      <c r="C81" s="14" t="s">
        <v>18</v>
      </c>
      <c r="D81" s="15">
        <f>_xlfn.MAXIFS('9'!$I$4:$I$70,'9'!$C$4:$C$70,$B81,'9'!$D$4:$D$70,$C81)</f>
        <v>6.7497999999999996</v>
      </c>
      <c r="E81" s="15">
        <f>_xlfn.MINIFS('9'!$I$4:$I$70,'9'!$C$4:$C$70,$B81,'9'!$D$4:$D$70,$C81)</f>
        <v>6.7497999999999996</v>
      </c>
      <c r="F81" s="15">
        <f>_xlfn.MAXIFS('9'!$M$4:$M$70,'9'!$C$4:$C$70,$B81,'9'!$D$4:$D$70,$C81)</f>
        <v>-14.5589</v>
      </c>
      <c r="G81" s="15">
        <f>_xlfn.MINIFS('9'!$M$4:$M$70,'9'!$C$4:$C$70,$B81,'9'!$D$4:$D$70,$C81)</f>
        <v>-32.1083</v>
      </c>
      <c r="H81" s="15">
        <f>_xlfn.MAXIFS('9'!$H$4:$H$70,'9'!$C$4:$C$70,$B81,'9'!$D$4:$D$70,$C81)</f>
        <v>-119.3737</v>
      </c>
      <c r="I81" s="15">
        <f>_xlfn.MINIFS('9'!$H$4:$H$70,'9'!$C$4:$C$70,$B81,'9'!$D$4:$D$70,$C81)</f>
        <v>-119.3737</v>
      </c>
    </row>
    <row r="82" spans="1:9" x14ac:dyDescent="0.3">
      <c r="A82" s="14">
        <v>9</v>
      </c>
      <c r="B82" s="14" t="s">
        <v>49</v>
      </c>
      <c r="C82" s="14" t="s">
        <v>19</v>
      </c>
      <c r="D82" s="15">
        <f>_xlfn.MAXIFS('9'!$I$4:$I$70,'9'!$C$4:$C$70,$B82,'9'!$D$4:$D$70,$C82)</f>
        <v>14.5946</v>
      </c>
      <c r="E82" s="15">
        <f>_xlfn.MINIFS('9'!$I$4:$I$70,'9'!$C$4:$C$70,$B82,'9'!$D$4:$D$70,$C82)</f>
        <v>14.5946</v>
      </c>
      <c r="F82" s="15">
        <f>_xlfn.MAXIFS('9'!$M$4:$M$70,'9'!$C$4:$C$70,$B82,'9'!$D$4:$D$70,$C82)</f>
        <v>348.83120000000002</v>
      </c>
      <c r="G82" s="15">
        <f>_xlfn.MINIFS('9'!$M$4:$M$70,'9'!$C$4:$C$70,$B82,'9'!$D$4:$D$70,$C82)</f>
        <v>338.61070000000001</v>
      </c>
      <c r="H82" s="15">
        <f>_xlfn.MAXIFS('9'!$H$4:$H$70,'9'!$C$4:$C$70,$B82,'9'!$D$4:$D$70,$C82)</f>
        <v>274.94760000000002</v>
      </c>
      <c r="I82" s="15">
        <f>_xlfn.MINIFS('9'!$H$4:$H$70,'9'!$C$4:$C$70,$B82,'9'!$D$4:$D$70,$C82)</f>
        <v>274.94760000000002</v>
      </c>
    </row>
    <row r="83" spans="1:9" x14ac:dyDescent="0.3">
      <c r="A83" s="14">
        <v>9</v>
      </c>
      <c r="B83" s="14" t="s">
        <v>49</v>
      </c>
      <c r="C83" s="14" t="s">
        <v>22</v>
      </c>
      <c r="D83" s="15">
        <f>_xlfn.MAXIFS('9'!$I$4:$I$70,'9'!$C$4:$C$70,$B83,'9'!$D$4:$D$70,$C83)</f>
        <v>3.0297000000000001</v>
      </c>
      <c r="E83" s="15">
        <f>_xlfn.MINIFS('9'!$I$4:$I$70,'9'!$C$4:$C$70,$B83,'9'!$D$4:$D$70,$C83)</f>
        <v>3.0297000000000001</v>
      </c>
      <c r="F83" s="15">
        <f>_xlfn.MAXIFS('9'!$M$4:$M$70,'9'!$C$4:$C$70,$B83,'9'!$D$4:$D$70,$C83)</f>
        <v>20.218900000000001</v>
      </c>
      <c r="G83" s="15">
        <f>_xlfn.MINIFS('9'!$M$4:$M$70,'9'!$C$4:$C$70,$B83,'9'!$D$4:$D$70,$C83)</f>
        <v>13.9335</v>
      </c>
      <c r="H83" s="15">
        <f>_xlfn.MAXIFS('9'!$H$4:$H$70,'9'!$C$4:$C$70,$B83,'9'!$D$4:$D$70,$C83)</f>
        <v>12.9598</v>
      </c>
      <c r="I83" s="15">
        <f>_xlfn.MINIFS('9'!$H$4:$H$70,'9'!$C$4:$C$70,$B83,'9'!$D$4:$D$70,$C83)</f>
        <v>12.9598</v>
      </c>
    </row>
    <row r="84" spans="1:9" x14ac:dyDescent="0.3">
      <c r="A84" s="14">
        <v>9</v>
      </c>
      <c r="B84" s="14" t="s">
        <v>96</v>
      </c>
      <c r="C84" s="14" t="s">
        <v>14</v>
      </c>
      <c r="D84" s="15">
        <f>_xlfn.MAXIFS('9'!$I$4:$I$70,'9'!$C$4:$C$70,$B84,'9'!$D$4:$D$70,$C84)</f>
        <v>-6.08E-2</v>
      </c>
      <c r="E84" s="15">
        <f>_xlfn.MINIFS('9'!$I$4:$I$70,'9'!$C$4:$C$70,$B84,'9'!$D$4:$D$70,$C84)</f>
        <v>-6.08E-2</v>
      </c>
      <c r="F84" s="15">
        <f>_xlfn.MAXIFS('9'!$M$4:$M$70,'9'!$C$4:$C$70,$B84,'9'!$D$4:$D$70,$C84)</f>
        <v>-31.607500000000002</v>
      </c>
      <c r="G84" s="15">
        <f>_xlfn.MINIFS('9'!$M$4:$M$70,'9'!$C$4:$C$70,$B84,'9'!$D$4:$D$70,$C84)</f>
        <v>-31.765599999999999</v>
      </c>
      <c r="H84" s="15">
        <f>_xlfn.MAXIFS('9'!$H$4:$H$70,'9'!$C$4:$C$70,$B84,'9'!$D$4:$D$70,$C84)</f>
        <v>-402.3741</v>
      </c>
      <c r="I84" s="15">
        <f>_xlfn.MINIFS('9'!$H$4:$H$70,'9'!$C$4:$C$70,$B84,'9'!$D$4:$D$70,$C84)</f>
        <v>-411.21409999999997</v>
      </c>
    </row>
    <row r="85" spans="1:9" x14ac:dyDescent="0.3">
      <c r="A85" s="14">
        <v>9</v>
      </c>
      <c r="B85" s="14" t="s">
        <v>96</v>
      </c>
      <c r="C85" s="14" t="s">
        <v>18</v>
      </c>
      <c r="D85" s="15">
        <f>_xlfn.MAXIFS('9'!$I$4:$I$70,'9'!$C$4:$C$70,$B85,'9'!$D$4:$D$70,$C85)</f>
        <v>-4.8977000000000004</v>
      </c>
      <c r="E85" s="15">
        <f>_xlfn.MINIFS('9'!$I$4:$I$70,'9'!$C$4:$C$70,$B85,'9'!$D$4:$D$70,$C85)</f>
        <v>-4.8977000000000004</v>
      </c>
      <c r="F85" s="15">
        <f>_xlfn.MAXIFS('9'!$M$4:$M$70,'9'!$C$4:$C$70,$B85,'9'!$D$4:$D$70,$C85)</f>
        <v>-2.4241000000000001</v>
      </c>
      <c r="G85" s="15">
        <f>_xlfn.MINIFS('9'!$M$4:$M$70,'9'!$C$4:$C$70,$B85,'9'!$D$4:$D$70,$C85)</f>
        <v>-15.158099999999999</v>
      </c>
      <c r="H85" s="15">
        <f>_xlfn.MAXIFS('9'!$H$4:$H$70,'9'!$C$4:$C$70,$B85,'9'!$D$4:$D$70,$C85)</f>
        <v>-96.295500000000004</v>
      </c>
      <c r="I85" s="15">
        <f>_xlfn.MINIFS('9'!$H$4:$H$70,'9'!$C$4:$C$70,$B85,'9'!$D$4:$D$70,$C85)</f>
        <v>-96.295500000000004</v>
      </c>
    </row>
    <row r="86" spans="1:9" x14ac:dyDescent="0.3">
      <c r="A86" s="14">
        <v>9</v>
      </c>
      <c r="B86" s="14" t="s">
        <v>96</v>
      </c>
      <c r="C86" s="14" t="s">
        <v>19</v>
      </c>
      <c r="D86" s="15">
        <f>_xlfn.MAXIFS('9'!$I$4:$I$70,'9'!$C$4:$C$70,$B86,'9'!$D$4:$D$70,$C86)</f>
        <v>4.8775000000000004</v>
      </c>
      <c r="E86" s="15">
        <f>_xlfn.MINIFS('9'!$I$4:$I$70,'9'!$C$4:$C$70,$B86,'9'!$D$4:$D$70,$C86)</f>
        <v>4.8775000000000004</v>
      </c>
      <c r="F86" s="15">
        <f>_xlfn.MAXIFS('9'!$M$4:$M$70,'9'!$C$4:$C$70,$B86,'9'!$D$4:$D$70,$C86)</f>
        <v>42.169600000000003</v>
      </c>
      <c r="G86" s="15">
        <f>_xlfn.MINIFS('9'!$M$4:$M$70,'9'!$C$4:$C$70,$B86,'9'!$D$4:$D$70,$C86)</f>
        <v>38.202500000000001</v>
      </c>
      <c r="H86" s="15">
        <f>_xlfn.MAXIFS('9'!$H$4:$H$70,'9'!$C$4:$C$70,$B86,'9'!$D$4:$D$70,$C86)</f>
        <v>126.7467</v>
      </c>
      <c r="I86" s="15">
        <f>_xlfn.MINIFS('9'!$H$4:$H$70,'9'!$C$4:$C$70,$B86,'9'!$D$4:$D$70,$C86)</f>
        <v>126.7467</v>
      </c>
    </row>
    <row r="87" spans="1:9" x14ac:dyDescent="0.3">
      <c r="A87" s="14">
        <v>9</v>
      </c>
      <c r="B87" s="14" t="s">
        <v>96</v>
      </c>
      <c r="C87" s="14" t="s">
        <v>22</v>
      </c>
      <c r="D87" s="15">
        <f>_xlfn.MAXIFS('9'!$I$4:$I$70,'9'!$C$4:$C$70,$B87,'9'!$D$4:$D$70,$C87)</f>
        <v>10.631</v>
      </c>
      <c r="E87" s="15">
        <f>_xlfn.MINIFS('9'!$I$4:$I$70,'9'!$C$4:$C$70,$B87,'9'!$D$4:$D$70,$C87)</f>
        <v>10.631</v>
      </c>
      <c r="F87" s="15">
        <f>_xlfn.MAXIFS('9'!$M$4:$M$70,'9'!$C$4:$C$70,$B87,'9'!$D$4:$D$70,$C87)</f>
        <v>265.16390000000001</v>
      </c>
      <c r="G87" s="15">
        <f>_xlfn.MINIFS('9'!$M$4:$M$70,'9'!$C$4:$C$70,$B87,'9'!$D$4:$D$70,$C87)</f>
        <v>241.40520000000001</v>
      </c>
      <c r="H87" s="15">
        <f>_xlfn.MAXIFS('9'!$H$4:$H$70,'9'!$C$4:$C$70,$B87,'9'!$D$4:$D$70,$C87)</f>
        <v>13.680999999999999</v>
      </c>
      <c r="I87" s="15">
        <f>_xlfn.MINIFS('9'!$H$4:$H$70,'9'!$C$4:$C$70,$B87,'9'!$D$4:$D$70,$C87)</f>
        <v>13.680999999999999</v>
      </c>
    </row>
    <row r="88" spans="1:9" x14ac:dyDescent="0.3">
      <c r="A88" s="14" t="s">
        <v>125</v>
      </c>
      <c r="B88" s="14" t="s">
        <v>23</v>
      </c>
      <c r="C88" s="14" t="s">
        <v>14</v>
      </c>
      <c r="D88" s="15">
        <f>_xlfn.MAXIFS(Col!$J$4:$J$462,Col!$C$4:$C$462,$B88,Col!$E$4:$E$462,$C88)</f>
        <v>0.22009999999999999</v>
      </c>
      <c r="E88" s="15">
        <f>_xlfn.MINIFS(Col!$J$4:$J$462,Col!$C$4:$C$462,$B88,Col!$E$4:$E$462,$C88)</f>
        <v>0.22009999999999999</v>
      </c>
      <c r="F88" s="15">
        <f>_xlfn.MAXIFS(Col!$N$4:$N$462,Col!$C$4:$C$462,$B88,Col!$E$4:$E$462,$C88)</f>
        <v>0.1512</v>
      </c>
      <c r="G88" s="15">
        <f>_xlfn.MINIFS(Col!$N$4:$N$462,Col!$C$4:$C$462,$B88,Col!$E$4:$E$462,$C88)</f>
        <v>-0.42099999999999999</v>
      </c>
      <c r="H88" s="15">
        <f>_xlfn.MAXIFS(Col!$I$4:$I$462,Col!$C$4:$C$462,$B88,Col!$E$4:$E$462,$C88)</f>
        <v>-20.0289</v>
      </c>
      <c r="I88" s="15">
        <f>_xlfn.MINIFS(Col!$I$4:$I$462,Col!$C$4:$C$462,$B88,Col!$E$4:$E$462,$C88)</f>
        <v>-21.003900000000002</v>
      </c>
    </row>
    <row r="89" spans="1:9" x14ac:dyDescent="0.3">
      <c r="A89" s="14" t="s">
        <v>125</v>
      </c>
      <c r="B89" s="14" t="s">
        <v>23</v>
      </c>
      <c r="C89" s="14" t="s">
        <v>18</v>
      </c>
      <c r="D89" s="15">
        <f>_xlfn.MAXIFS(Col!$J$4:$J$462,Col!$C$4:$C$462,$B89,Col!$E$4:$E$462,$C89)</f>
        <v>0.2006</v>
      </c>
      <c r="E89" s="15">
        <f>_xlfn.MINIFS(Col!$J$4:$J$462,Col!$C$4:$C$462,$B89,Col!$E$4:$E$462,$C89)</f>
        <v>0.2006</v>
      </c>
      <c r="F89" s="15">
        <f>_xlfn.MAXIFS(Col!$N$4:$N$462,Col!$C$4:$C$462,$B89,Col!$E$4:$E$462,$C89)</f>
        <v>0.13539999999999999</v>
      </c>
      <c r="G89" s="15">
        <f>_xlfn.MINIFS(Col!$N$4:$N$462,Col!$C$4:$C$462,$B89,Col!$E$4:$E$462,$C89)</f>
        <v>-0.38619999999999999</v>
      </c>
      <c r="H89" s="15">
        <f>_xlfn.MAXIFS(Col!$I$4:$I$462,Col!$C$4:$C$462,$B89,Col!$E$4:$E$462,$C89)</f>
        <v>-17.1816</v>
      </c>
      <c r="I89" s="15">
        <f>_xlfn.MINIFS(Col!$I$4:$I$462,Col!$C$4:$C$462,$B89,Col!$E$4:$E$462,$C89)</f>
        <v>-17.1816</v>
      </c>
    </row>
    <row r="90" spans="1:9" x14ac:dyDescent="0.3">
      <c r="A90" s="14" t="s">
        <v>125</v>
      </c>
      <c r="B90" s="14" t="s">
        <v>23</v>
      </c>
      <c r="C90" s="14" t="s">
        <v>19</v>
      </c>
      <c r="D90" s="15">
        <f>_xlfn.MAXIFS(Col!$J$4:$J$462,Col!$C$4:$C$462,$B90,Col!$E$4:$E$462,$C90)</f>
        <v>0.29659999999999997</v>
      </c>
      <c r="E90" s="15">
        <f>_xlfn.MINIFS(Col!$J$4:$J$462,Col!$C$4:$C$462,$B90,Col!$E$4:$E$462,$C90)</f>
        <v>0.29659999999999997</v>
      </c>
      <c r="F90" s="15">
        <f>_xlfn.MAXIFS(Col!$N$4:$N$462,Col!$C$4:$C$462,$B90,Col!$E$4:$E$462,$C90)</f>
        <v>0.43930000000000002</v>
      </c>
      <c r="G90" s="15">
        <f>_xlfn.MINIFS(Col!$N$4:$N$462,Col!$C$4:$C$462,$B90,Col!$E$4:$E$462,$C90)</f>
        <v>5.4399999999999997E-2</v>
      </c>
      <c r="H90" s="15">
        <f>_xlfn.MAXIFS(Col!$I$4:$I$462,Col!$C$4:$C$462,$B90,Col!$E$4:$E$462,$C90)</f>
        <v>6.93E-2</v>
      </c>
      <c r="I90" s="15">
        <f>_xlfn.MINIFS(Col!$I$4:$I$462,Col!$C$4:$C$462,$B90,Col!$E$4:$E$462,$C90)</f>
        <v>6.93E-2</v>
      </c>
    </row>
    <row r="91" spans="1:9" x14ac:dyDescent="0.3">
      <c r="A91" s="14" t="s">
        <v>125</v>
      </c>
      <c r="B91" s="14" t="s">
        <v>23</v>
      </c>
      <c r="C91" s="14" t="s">
        <v>22</v>
      </c>
      <c r="D91" s="15">
        <f>_xlfn.MAXIFS(Col!$J$4:$J$462,Col!$C$4:$C$462,$B91,Col!$E$4:$E$462,$C91)</f>
        <v>7.5899999999999995E-2</v>
      </c>
      <c r="E91" s="15">
        <f>_xlfn.MINIFS(Col!$J$4:$J$462,Col!$C$4:$C$462,$B91,Col!$E$4:$E$462,$C91)</f>
        <v>7.5899999999999995E-2</v>
      </c>
      <c r="F91" s="15">
        <f>_xlfn.MAXIFS(Col!$N$4:$N$462,Col!$C$4:$C$462,$B91,Col!$E$4:$E$462,$C91)</f>
        <v>0.12139999999999999</v>
      </c>
      <c r="G91" s="15">
        <f>_xlfn.MINIFS(Col!$N$4:$N$462,Col!$C$4:$C$462,$B91,Col!$E$4:$E$462,$C91)</f>
        <v>3.7400000000000003E-2</v>
      </c>
      <c r="H91" s="15">
        <f>_xlfn.MAXIFS(Col!$I$4:$I$462,Col!$C$4:$C$462,$B91,Col!$E$4:$E$462,$C91)</f>
        <v>0.1076</v>
      </c>
      <c r="I91" s="15">
        <f>_xlfn.MINIFS(Col!$I$4:$I$462,Col!$C$4:$C$462,$B91,Col!$E$4:$E$462,$C91)</f>
        <v>0.1076</v>
      </c>
    </row>
    <row r="92" spans="1:9" x14ac:dyDescent="0.3">
      <c r="A92" s="14" t="s">
        <v>125</v>
      </c>
      <c r="B92" s="14" t="s">
        <v>25</v>
      </c>
      <c r="C92" s="14" t="s">
        <v>14</v>
      </c>
      <c r="D92" s="15">
        <f>_xlfn.MAXIFS(Col!$J$4:$J$462,Col!$C$4:$C$462,$B92,Col!$E$4:$E$462,$C92)</f>
        <v>0.68810000000000004</v>
      </c>
      <c r="E92" s="15">
        <f>_xlfn.MINIFS(Col!$J$4:$J$462,Col!$C$4:$C$462,$B92,Col!$E$4:$E$462,$C92)</f>
        <v>0.68810000000000004</v>
      </c>
      <c r="F92" s="15">
        <f>_xlfn.MAXIFS(Col!$N$4:$N$462,Col!$C$4:$C$462,$B92,Col!$E$4:$E$462,$C92)</f>
        <v>0.53849999999999998</v>
      </c>
      <c r="G92" s="15">
        <f>_xlfn.MINIFS(Col!$N$4:$N$462,Col!$C$4:$C$462,$B92,Col!$E$4:$E$462,$C92)</f>
        <v>-1.2505999999999999</v>
      </c>
      <c r="H92" s="15">
        <f>_xlfn.MAXIFS(Col!$I$4:$I$462,Col!$C$4:$C$462,$B92,Col!$E$4:$E$462,$C92)</f>
        <v>-19.470500000000001</v>
      </c>
      <c r="I92" s="15">
        <f>_xlfn.MINIFS(Col!$I$4:$I$462,Col!$C$4:$C$462,$B92,Col!$E$4:$E$462,$C92)</f>
        <v>-20.445499999999999</v>
      </c>
    </row>
    <row r="93" spans="1:9" x14ac:dyDescent="0.3">
      <c r="A93" s="14" t="s">
        <v>125</v>
      </c>
      <c r="B93" s="14" t="s">
        <v>25</v>
      </c>
      <c r="C93" s="14" t="s">
        <v>18</v>
      </c>
      <c r="D93" s="15">
        <f>_xlfn.MAXIFS(Col!$J$4:$J$462,Col!$C$4:$C$462,$B93,Col!$E$4:$E$462,$C93)</f>
        <v>0.64270000000000005</v>
      </c>
      <c r="E93" s="15">
        <f>_xlfn.MINIFS(Col!$J$4:$J$462,Col!$C$4:$C$462,$B93,Col!$E$4:$E$462,$C93)</f>
        <v>0.64270000000000005</v>
      </c>
      <c r="F93" s="15">
        <f>_xlfn.MAXIFS(Col!$N$4:$N$462,Col!$C$4:$C$462,$B93,Col!$E$4:$E$462,$C93)</f>
        <v>0.50370000000000004</v>
      </c>
      <c r="G93" s="15">
        <f>_xlfn.MINIFS(Col!$N$4:$N$462,Col!$C$4:$C$462,$B93,Col!$E$4:$E$462,$C93)</f>
        <v>-1.1673</v>
      </c>
      <c r="H93" s="15">
        <f>_xlfn.MAXIFS(Col!$I$4:$I$462,Col!$C$4:$C$462,$B93,Col!$E$4:$E$462,$C93)</f>
        <v>-16.700700000000001</v>
      </c>
      <c r="I93" s="15">
        <f>_xlfn.MINIFS(Col!$I$4:$I$462,Col!$C$4:$C$462,$B93,Col!$E$4:$E$462,$C93)</f>
        <v>-16.700700000000001</v>
      </c>
    </row>
    <row r="94" spans="1:9" x14ac:dyDescent="0.3">
      <c r="A94" s="14" t="s">
        <v>125</v>
      </c>
      <c r="B94" s="14" t="s">
        <v>25</v>
      </c>
      <c r="C94" s="14" t="s">
        <v>19</v>
      </c>
      <c r="D94" s="15">
        <f>_xlfn.MAXIFS(Col!$J$4:$J$462,Col!$C$4:$C$462,$B94,Col!$E$4:$E$462,$C94)</f>
        <v>0.33639999999999998</v>
      </c>
      <c r="E94" s="15">
        <f>_xlfn.MINIFS(Col!$J$4:$J$462,Col!$C$4:$C$462,$B94,Col!$E$4:$E$462,$C94)</f>
        <v>0.33639999999999998</v>
      </c>
      <c r="F94" s="15">
        <f>_xlfn.MAXIFS(Col!$N$4:$N$462,Col!$C$4:$C$462,$B94,Col!$E$4:$E$462,$C94)</f>
        <v>0.49859999999999999</v>
      </c>
      <c r="G94" s="15">
        <f>_xlfn.MINIFS(Col!$N$4:$N$462,Col!$C$4:$C$462,$B94,Col!$E$4:$E$462,$C94)</f>
        <v>6.3E-2</v>
      </c>
      <c r="H94" s="15">
        <f>_xlfn.MAXIFS(Col!$I$4:$I$462,Col!$C$4:$C$462,$B94,Col!$E$4:$E$462,$C94)</f>
        <v>0.1062</v>
      </c>
      <c r="I94" s="15">
        <f>_xlfn.MINIFS(Col!$I$4:$I$462,Col!$C$4:$C$462,$B94,Col!$E$4:$E$462,$C94)</f>
        <v>0.1062</v>
      </c>
    </row>
    <row r="95" spans="1:9" x14ac:dyDescent="0.3">
      <c r="A95" s="14" t="s">
        <v>125</v>
      </c>
      <c r="B95" s="14" t="s">
        <v>25</v>
      </c>
      <c r="C95" s="14" t="s">
        <v>22</v>
      </c>
      <c r="D95" s="15">
        <f>_xlfn.MAXIFS(Col!$J$4:$J$462,Col!$C$4:$C$462,$B95,Col!$E$4:$E$462,$C95)</f>
        <v>0.113</v>
      </c>
      <c r="E95" s="15">
        <f>_xlfn.MINIFS(Col!$J$4:$J$462,Col!$C$4:$C$462,$B95,Col!$E$4:$E$462,$C95)</f>
        <v>0.113</v>
      </c>
      <c r="F95" s="15">
        <f>_xlfn.MAXIFS(Col!$N$4:$N$462,Col!$C$4:$C$462,$B95,Col!$E$4:$E$462,$C95)</f>
        <v>0.188</v>
      </c>
      <c r="G95" s="15">
        <f>_xlfn.MINIFS(Col!$N$4:$N$462,Col!$C$4:$C$462,$B95,Col!$E$4:$E$462,$C95)</f>
        <v>5.2999999999999999E-2</v>
      </c>
      <c r="H95" s="15">
        <f>_xlfn.MAXIFS(Col!$I$4:$I$462,Col!$C$4:$C$462,$B95,Col!$E$4:$E$462,$C95)</f>
        <v>0.22270000000000001</v>
      </c>
      <c r="I95" s="15">
        <f>_xlfn.MINIFS(Col!$I$4:$I$462,Col!$C$4:$C$462,$B95,Col!$E$4:$E$462,$C95)</f>
        <v>0.22270000000000001</v>
      </c>
    </row>
    <row r="96" spans="1:9" x14ac:dyDescent="0.3">
      <c r="A96" s="14" t="s">
        <v>125</v>
      </c>
      <c r="B96" s="14" t="s">
        <v>26</v>
      </c>
      <c r="C96" s="14" t="s">
        <v>14</v>
      </c>
      <c r="D96" s="15">
        <f>_xlfn.MAXIFS(Col!$J$4:$J$462,Col!$C$4:$C$462,$B96,Col!$E$4:$E$462,$C96)</f>
        <v>1.0402</v>
      </c>
      <c r="E96" s="15">
        <f>_xlfn.MINIFS(Col!$J$4:$J$462,Col!$C$4:$C$462,$B96,Col!$E$4:$E$462,$C96)</f>
        <v>1.0402</v>
      </c>
      <c r="F96" s="15">
        <f>_xlfn.MAXIFS(Col!$N$4:$N$462,Col!$C$4:$C$462,$B96,Col!$E$4:$E$462,$C96)</f>
        <v>0.83030000000000004</v>
      </c>
      <c r="G96" s="15">
        <f>_xlfn.MINIFS(Col!$N$4:$N$462,Col!$C$4:$C$462,$B96,Col!$E$4:$E$462,$C96)</f>
        <v>-1.8743000000000001</v>
      </c>
      <c r="H96" s="15">
        <f>_xlfn.MAXIFS(Col!$I$4:$I$462,Col!$C$4:$C$462,$B96,Col!$E$4:$E$462,$C96)</f>
        <v>-19.331099999999999</v>
      </c>
      <c r="I96" s="15">
        <f>_xlfn.MINIFS(Col!$I$4:$I$462,Col!$C$4:$C$462,$B96,Col!$E$4:$E$462,$C96)</f>
        <v>-20.306100000000001</v>
      </c>
    </row>
    <row r="97" spans="1:9" x14ac:dyDescent="0.3">
      <c r="A97" s="14" t="s">
        <v>125</v>
      </c>
      <c r="B97" s="14" t="s">
        <v>26</v>
      </c>
      <c r="C97" s="14" t="s">
        <v>18</v>
      </c>
      <c r="D97" s="15">
        <f>_xlfn.MAXIFS(Col!$J$4:$J$462,Col!$C$4:$C$462,$B97,Col!$E$4:$E$462,$C97)</f>
        <v>0.95450000000000002</v>
      </c>
      <c r="E97" s="15">
        <f>_xlfn.MINIFS(Col!$J$4:$J$462,Col!$C$4:$C$462,$B97,Col!$E$4:$E$462,$C97)</f>
        <v>0.95450000000000002</v>
      </c>
      <c r="F97" s="15">
        <f>_xlfn.MAXIFS(Col!$N$4:$N$462,Col!$C$4:$C$462,$B97,Col!$E$4:$E$462,$C97)</f>
        <v>0.76439999999999997</v>
      </c>
      <c r="G97" s="15">
        <f>_xlfn.MINIFS(Col!$N$4:$N$462,Col!$C$4:$C$462,$B97,Col!$E$4:$E$462,$C97)</f>
        <v>-1.7172000000000001</v>
      </c>
      <c r="H97" s="15">
        <f>_xlfn.MAXIFS(Col!$I$4:$I$462,Col!$C$4:$C$462,$B97,Col!$E$4:$E$462,$C97)</f>
        <v>-16.4557</v>
      </c>
      <c r="I97" s="15">
        <f>_xlfn.MINIFS(Col!$I$4:$I$462,Col!$C$4:$C$462,$B97,Col!$E$4:$E$462,$C97)</f>
        <v>-16.4557</v>
      </c>
    </row>
    <row r="98" spans="1:9" x14ac:dyDescent="0.3">
      <c r="A98" s="14" t="s">
        <v>125</v>
      </c>
      <c r="B98" s="14" t="s">
        <v>26</v>
      </c>
      <c r="C98" s="14" t="s">
        <v>19</v>
      </c>
      <c r="D98" s="15">
        <f>_xlfn.MAXIFS(Col!$J$4:$J$462,Col!$C$4:$C$462,$B98,Col!$E$4:$E$462,$C98)</f>
        <v>0.35160000000000002</v>
      </c>
      <c r="E98" s="15">
        <f>_xlfn.MINIFS(Col!$J$4:$J$462,Col!$C$4:$C$462,$B98,Col!$E$4:$E$462,$C98)</f>
        <v>0.35160000000000002</v>
      </c>
      <c r="F98" s="15">
        <f>_xlfn.MAXIFS(Col!$N$4:$N$462,Col!$C$4:$C$462,$B98,Col!$E$4:$E$462,$C98)</f>
        <v>0.53520000000000001</v>
      </c>
      <c r="G98" s="15">
        <f>_xlfn.MINIFS(Col!$N$4:$N$462,Col!$C$4:$C$462,$B98,Col!$E$4:$E$462,$C98)</f>
        <v>8.1000000000000003E-2</v>
      </c>
      <c r="H98" s="15">
        <f>_xlfn.MAXIFS(Col!$I$4:$I$462,Col!$C$4:$C$462,$B98,Col!$E$4:$E$462,$C98)</f>
        <v>0.2722</v>
      </c>
      <c r="I98" s="15">
        <f>_xlfn.MINIFS(Col!$I$4:$I$462,Col!$C$4:$C$462,$B98,Col!$E$4:$E$462,$C98)</f>
        <v>0.2722</v>
      </c>
    </row>
    <row r="99" spans="1:9" x14ac:dyDescent="0.3">
      <c r="A99" s="14" t="s">
        <v>125</v>
      </c>
      <c r="B99" s="14" t="s">
        <v>26</v>
      </c>
      <c r="C99" s="14" t="s">
        <v>22</v>
      </c>
      <c r="D99" s="15">
        <f>_xlfn.MAXIFS(Col!$J$4:$J$462,Col!$C$4:$C$462,$B99,Col!$E$4:$E$462,$C99)</f>
        <v>0.13020000000000001</v>
      </c>
      <c r="E99" s="15">
        <f>_xlfn.MINIFS(Col!$J$4:$J$462,Col!$C$4:$C$462,$B99,Col!$E$4:$E$462,$C99)</f>
        <v>0.13020000000000001</v>
      </c>
      <c r="F99" s="15">
        <f>_xlfn.MAXIFS(Col!$N$4:$N$462,Col!$C$4:$C$462,$B99,Col!$E$4:$E$462,$C99)</f>
        <v>0.2167</v>
      </c>
      <c r="G99" s="15">
        <f>_xlfn.MINIFS(Col!$N$4:$N$462,Col!$C$4:$C$462,$B99,Col!$E$4:$E$462,$C99)</f>
        <v>6.0699999999999997E-2</v>
      </c>
      <c r="H99" s="15">
        <f>_xlfn.MAXIFS(Col!$I$4:$I$462,Col!$C$4:$C$462,$B99,Col!$E$4:$E$462,$C99)</f>
        <v>0.2407</v>
      </c>
      <c r="I99" s="15">
        <f>_xlfn.MINIFS(Col!$I$4:$I$462,Col!$C$4:$C$462,$B99,Col!$E$4:$E$462,$C99)</f>
        <v>0.2407</v>
      </c>
    </row>
    <row r="100" spans="1:9" x14ac:dyDescent="0.3">
      <c r="A100" s="14" t="s">
        <v>125</v>
      </c>
      <c r="B100" s="14" t="s">
        <v>31</v>
      </c>
      <c r="C100" s="14" t="s">
        <v>14</v>
      </c>
      <c r="D100" s="15">
        <f>_xlfn.MAXIFS(Col!$J$4:$J$462,Col!$C$4:$C$462,$B100,Col!$E$4:$E$462,$C100)</f>
        <v>-0.15329999999999999</v>
      </c>
      <c r="E100" s="15">
        <f>_xlfn.MINIFS(Col!$J$4:$J$462,Col!$C$4:$C$462,$B100,Col!$E$4:$E$462,$C100)</f>
        <v>-0.15329999999999999</v>
      </c>
      <c r="F100" s="15">
        <f>_xlfn.MAXIFS(Col!$N$4:$N$462,Col!$C$4:$C$462,$B100,Col!$E$4:$E$462,$C100)</f>
        <v>0.24349999999999999</v>
      </c>
      <c r="G100" s="15">
        <f>_xlfn.MINIFS(Col!$N$4:$N$462,Col!$C$4:$C$462,$B100,Col!$E$4:$E$462,$C100)</f>
        <v>-0.1552</v>
      </c>
      <c r="H100" s="15">
        <f>_xlfn.MAXIFS(Col!$I$4:$I$462,Col!$C$4:$C$462,$B100,Col!$E$4:$E$462,$C100)</f>
        <v>-19.9023</v>
      </c>
      <c r="I100" s="15">
        <f>_xlfn.MINIFS(Col!$I$4:$I$462,Col!$C$4:$C$462,$B100,Col!$E$4:$E$462,$C100)</f>
        <v>-20.877300000000002</v>
      </c>
    </row>
    <row r="101" spans="1:9" x14ac:dyDescent="0.3">
      <c r="A101" s="14" t="s">
        <v>125</v>
      </c>
      <c r="B101" s="14" t="s">
        <v>31</v>
      </c>
      <c r="C101" s="14" t="s">
        <v>18</v>
      </c>
      <c r="D101" s="15">
        <f>_xlfn.MAXIFS(Col!$J$4:$J$462,Col!$C$4:$C$462,$B101,Col!$E$4:$E$462,$C101)</f>
        <v>-0.1487</v>
      </c>
      <c r="E101" s="15">
        <f>_xlfn.MINIFS(Col!$J$4:$J$462,Col!$C$4:$C$462,$B101,Col!$E$4:$E$462,$C101)</f>
        <v>-0.1487</v>
      </c>
      <c r="F101" s="15">
        <f>_xlfn.MAXIFS(Col!$N$4:$N$462,Col!$C$4:$C$462,$B101,Col!$E$4:$E$462,$C101)</f>
        <v>0.23549999999999999</v>
      </c>
      <c r="G101" s="15">
        <f>_xlfn.MINIFS(Col!$N$4:$N$462,Col!$C$4:$C$462,$B101,Col!$E$4:$E$462,$C101)</f>
        <v>-0.1512</v>
      </c>
      <c r="H101" s="15">
        <f>_xlfn.MAXIFS(Col!$I$4:$I$462,Col!$C$4:$C$462,$B101,Col!$E$4:$E$462,$C101)</f>
        <v>-17.078499999999998</v>
      </c>
      <c r="I101" s="15">
        <f>_xlfn.MINIFS(Col!$I$4:$I$462,Col!$C$4:$C$462,$B101,Col!$E$4:$E$462,$C101)</f>
        <v>-17.078499999999998</v>
      </c>
    </row>
    <row r="102" spans="1:9" x14ac:dyDescent="0.3">
      <c r="A102" s="14" t="s">
        <v>125</v>
      </c>
      <c r="B102" s="14" t="s">
        <v>31</v>
      </c>
      <c r="C102" s="14" t="s">
        <v>19</v>
      </c>
      <c r="D102" s="15">
        <f>_xlfn.MAXIFS(Col!$J$4:$J$462,Col!$C$4:$C$462,$B102,Col!$E$4:$E$462,$C102)</f>
        <v>0.28639999999999999</v>
      </c>
      <c r="E102" s="15">
        <f>_xlfn.MINIFS(Col!$J$4:$J$462,Col!$C$4:$C$462,$B102,Col!$E$4:$E$462,$C102)</f>
        <v>0.28639999999999999</v>
      </c>
      <c r="F102" s="15">
        <f>_xlfn.MAXIFS(Col!$N$4:$N$462,Col!$C$4:$C$462,$B102,Col!$E$4:$E$462,$C102)</f>
        <v>0.43109999999999998</v>
      </c>
      <c r="G102" s="15">
        <f>_xlfn.MINIFS(Col!$N$4:$N$462,Col!$C$4:$C$462,$B102,Col!$E$4:$E$462,$C102)</f>
        <v>5.8700000000000002E-2</v>
      </c>
      <c r="H102" s="15">
        <f>_xlfn.MAXIFS(Col!$I$4:$I$462,Col!$C$4:$C$462,$B102,Col!$E$4:$E$462,$C102)</f>
        <v>2.3E-2</v>
      </c>
      <c r="I102" s="15">
        <f>_xlfn.MINIFS(Col!$I$4:$I$462,Col!$C$4:$C$462,$B102,Col!$E$4:$E$462,$C102)</f>
        <v>2.3E-2</v>
      </c>
    </row>
    <row r="103" spans="1:9" x14ac:dyDescent="0.3">
      <c r="A103" s="14" t="s">
        <v>125</v>
      </c>
      <c r="B103" s="14" t="s">
        <v>31</v>
      </c>
      <c r="C103" s="14" t="s">
        <v>22</v>
      </c>
      <c r="D103" s="15">
        <f>_xlfn.MAXIFS(Col!$J$4:$J$462,Col!$C$4:$C$462,$B103,Col!$E$4:$E$462,$C103)</f>
        <v>5.1700000000000003E-2</v>
      </c>
      <c r="E103" s="15">
        <f>_xlfn.MINIFS(Col!$J$4:$J$462,Col!$C$4:$C$462,$B103,Col!$E$4:$E$462,$C103)</f>
        <v>5.1700000000000003E-2</v>
      </c>
      <c r="F103" s="15">
        <f>_xlfn.MAXIFS(Col!$N$4:$N$462,Col!$C$4:$C$462,$B103,Col!$E$4:$E$462,$C103)</f>
        <v>7.4999999999999997E-2</v>
      </c>
      <c r="G103" s="15">
        <f>_xlfn.MINIFS(Col!$N$4:$N$462,Col!$C$4:$C$462,$B103,Col!$E$4:$E$462,$C103)</f>
        <v>9.1999999999999998E-3</v>
      </c>
      <c r="H103" s="15">
        <f>_xlfn.MAXIFS(Col!$I$4:$I$462,Col!$C$4:$C$462,$B103,Col!$E$4:$E$462,$C103)</f>
        <v>1.12E-2</v>
      </c>
      <c r="I103" s="15">
        <f>_xlfn.MINIFS(Col!$I$4:$I$462,Col!$C$4:$C$462,$B103,Col!$E$4:$E$462,$C103)</f>
        <v>1.12E-2</v>
      </c>
    </row>
    <row r="104" spans="1:9" x14ac:dyDescent="0.3">
      <c r="A104" s="14" t="s">
        <v>125</v>
      </c>
      <c r="B104" s="14" t="s">
        <v>28</v>
      </c>
      <c r="C104" s="14" t="s">
        <v>14</v>
      </c>
      <c r="D104" s="15">
        <f>_xlfn.MAXIFS(Col!$J$4:$J$462,Col!$C$4:$C$462,$B104,Col!$E$4:$E$462,$C104)</f>
        <v>-0.11609999999999999</v>
      </c>
      <c r="E104" s="15">
        <f>_xlfn.MINIFS(Col!$J$4:$J$462,Col!$C$4:$C$462,$B104,Col!$E$4:$E$462,$C104)</f>
        <v>-0.11609999999999999</v>
      </c>
      <c r="F104" s="15">
        <f>_xlfn.MAXIFS(Col!$N$4:$N$462,Col!$C$4:$C$462,$B104,Col!$E$4:$E$462,$C104)</f>
        <v>0.18049999999999999</v>
      </c>
      <c r="G104" s="15">
        <f>_xlfn.MINIFS(Col!$N$4:$N$462,Col!$C$4:$C$462,$B104,Col!$E$4:$E$462,$C104)</f>
        <v>-0.12139999999999999</v>
      </c>
      <c r="H104" s="15">
        <f>_xlfn.MAXIFS(Col!$I$4:$I$462,Col!$C$4:$C$462,$B104,Col!$E$4:$E$462,$C104)</f>
        <v>-17.967400000000001</v>
      </c>
      <c r="I104" s="15">
        <f>_xlfn.MINIFS(Col!$I$4:$I$462,Col!$C$4:$C$462,$B104,Col!$E$4:$E$462,$C104)</f>
        <v>-18.942399999999999</v>
      </c>
    </row>
    <row r="105" spans="1:9" x14ac:dyDescent="0.3">
      <c r="A105" s="14" t="s">
        <v>125</v>
      </c>
      <c r="B105" s="14" t="s">
        <v>28</v>
      </c>
      <c r="C105" s="14" t="s">
        <v>18</v>
      </c>
      <c r="D105" s="15">
        <f>_xlfn.MAXIFS(Col!$J$4:$J$462,Col!$C$4:$C$462,$B105,Col!$E$4:$E$462,$C105)</f>
        <v>-0.112</v>
      </c>
      <c r="E105" s="15">
        <f>_xlfn.MINIFS(Col!$J$4:$J$462,Col!$C$4:$C$462,$B105,Col!$E$4:$E$462,$C105)</f>
        <v>-0.112</v>
      </c>
      <c r="F105" s="15">
        <f>_xlfn.MAXIFS(Col!$N$4:$N$462,Col!$C$4:$C$462,$B105,Col!$E$4:$E$462,$C105)</f>
        <v>0.1757</v>
      </c>
      <c r="G105" s="15">
        <f>_xlfn.MINIFS(Col!$N$4:$N$462,Col!$C$4:$C$462,$B105,Col!$E$4:$E$462,$C105)</f>
        <v>-0.11559999999999999</v>
      </c>
      <c r="H105" s="15">
        <f>_xlfn.MAXIFS(Col!$I$4:$I$462,Col!$C$4:$C$462,$B105,Col!$E$4:$E$462,$C105)</f>
        <v>-15.3163</v>
      </c>
      <c r="I105" s="15">
        <f>_xlfn.MINIFS(Col!$I$4:$I$462,Col!$C$4:$C$462,$B105,Col!$E$4:$E$462,$C105)</f>
        <v>-15.3163</v>
      </c>
    </row>
    <row r="106" spans="1:9" x14ac:dyDescent="0.3">
      <c r="A106" s="14" t="s">
        <v>125</v>
      </c>
      <c r="B106" s="14" t="s">
        <v>28</v>
      </c>
      <c r="C106" s="14" t="s">
        <v>19</v>
      </c>
      <c r="D106" s="15">
        <f>_xlfn.MAXIFS(Col!$J$4:$J$462,Col!$C$4:$C$462,$B106,Col!$E$4:$E$462,$C106)</f>
        <v>0.32290000000000002</v>
      </c>
      <c r="E106" s="15">
        <f>_xlfn.MINIFS(Col!$J$4:$J$462,Col!$C$4:$C$462,$B106,Col!$E$4:$E$462,$C106)</f>
        <v>0.32290000000000002</v>
      </c>
      <c r="F106" s="15">
        <f>_xlfn.MAXIFS(Col!$N$4:$N$462,Col!$C$4:$C$462,$B106,Col!$E$4:$E$462,$C106)</f>
        <v>0.48780000000000001</v>
      </c>
      <c r="G106" s="15">
        <f>_xlfn.MINIFS(Col!$N$4:$N$462,Col!$C$4:$C$462,$B106,Col!$E$4:$E$462,$C106)</f>
        <v>6.8099999999999994E-2</v>
      </c>
      <c r="H106" s="15">
        <f>_xlfn.MAXIFS(Col!$I$4:$I$462,Col!$C$4:$C$462,$B106,Col!$E$4:$E$462,$C106)</f>
        <v>1.72E-2</v>
      </c>
      <c r="I106" s="15">
        <f>_xlfn.MINIFS(Col!$I$4:$I$462,Col!$C$4:$C$462,$B106,Col!$E$4:$E$462,$C106)</f>
        <v>1.72E-2</v>
      </c>
    </row>
    <row r="107" spans="1:9" x14ac:dyDescent="0.3">
      <c r="A107" s="14" t="s">
        <v>125</v>
      </c>
      <c r="B107" s="14" t="s">
        <v>28</v>
      </c>
      <c r="C107" s="14" t="s">
        <v>22</v>
      </c>
      <c r="D107" s="15">
        <f>_xlfn.MAXIFS(Col!$J$4:$J$462,Col!$C$4:$C$462,$B107,Col!$E$4:$E$462,$C107)</f>
        <v>4.4499999999999998E-2</v>
      </c>
      <c r="E107" s="15">
        <f>_xlfn.MINIFS(Col!$J$4:$J$462,Col!$C$4:$C$462,$B107,Col!$E$4:$E$462,$C107)</f>
        <v>4.4499999999999998E-2</v>
      </c>
      <c r="F107" s="15">
        <f>_xlfn.MAXIFS(Col!$N$4:$N$462,Col!$C$4:$C$462,$B107,Col!$E$4:$E$462,$C107)</f>
        <v>6.2799999999999995E-2</v>
      </c>
      <c r="G107" s="15">
        <f>_xlfn.MINIFS(Col!$N$4:$N$462,Col!$C$4:$C$462,$B107,Col!$E$4:$E$462,$C107)</f>
        <v>1.2E-2</v>
      </c>
      <c r="H107" s="15">
        <f>_xlfn.MAXIFS(Col!$I$4:$I$462,Col!$C$4:$C$462,$B107,Col!$E$4:$E$462,$C107)</f>
        <v>8.1100000000000005E-2</v>
      </c>
      <c r="I107" s="15">
        <f>_xlfn.MINIFS(Col!$I$4:$I$462,Col!$C$4:$C$462,$B107,Col!$E$4:$E$462,$C107)</f>
        <v>8.1100000000000005E-2</v>
      </c>
    </row>
    <row r="108" spans="1:9" x14ac:dyDescent="0.3">
      <c r="A108" s="14" t="s">
        <v>125</v>
      </c>
      <c r="B108" s="14" t="s">
        <v>29</v>
      </c>
      <c r="C108" s="14" t="s">
        <v>14</v>
      </c>
      <c r="D108" s="15">
        <f>_xlfn.MAXIFS(Col!$J$4:$J$462,Col!$C$4:$C$462,$B108,Col!$E$4:$E$462,$C108)</f>
        <v>-0.20419999999999999</v>
      </c>
      <c r="E108" s="15">
        <f>_xlfn.MINIFS(Col!$J$4:$J$462,Col!$C$4:$C$462,$B108,Col!$E$4:$E$462,$C108)</f>
        <v>-0.20419999999999999</v>
      </c>
      <c r="F108" s="15">
        <f>_xlfn.MAXIFS(Col!$N$4:$N$462,Col!$C$4:$C$462,$B108,Col!$E$4:$E$462,$C108)</f>
        <v>0.3402</v>
      </c>
      <c r="G108" s="15">
        <f>_xlfn.MINIFS(Col!$N$4:$N$462,Col!$C$4:$C$462,$B108,Col!$E$4:$E$462,$C108)</f>
        <v>-0.1908</v>
      </c>
      <c r="H108" s="15">
        <f>_xlfn.MAXIFS(Col!$I$4:$I$462,Col!$C$4:$C$462,$B108,Col!$E$4:$E$462,$C108)</f>
        <v>-17.547599999999999</v>
      </c>
      <c r="I108" s="15">
        <f>_xlfn.MINIFS(Col!$I$4:$I$462,Col!$C$4:$C$462,$B108,Col!$E$4:$E$462,$C108)</f>
        <v>-18.522600000000001</v>
      </c>
    </row>
    <row r="109" spans="1:9" x14ac:dyDescent="0.3">
      <c r="A109" s="14" t="s">
        <v>125</v>
      </c>
      <c r="B109" s="14" t="s">
        <v>29</v>
      </c>
      <c r="C109" s="14" t="s">
        <v>18</v>
      </c>
      <c r="D109" s="15">
        <f>_xlfn.MAXIFS(Col!$J$4:$J$462,Col!$C$4:$C$462,$B109,Col!$E$4:$E$462,$C109)</f>
        <v>-0.1588</v>
      </c>
      <c r="E109" s="15">
        <f>_xlfn.MINIFS(Col!$J$4:$J$462,Col!$C$4:$C$462,$B109,Col!$E$4:$E$462,$C109)</f>
        <v>-0.1588</v>
      </c>
      <c r="F109" s="15">
        <f>_xlfn.MAXIFS(Col!$N$4:$N$462,Col!$C$4:$C$462,$B109,Col!$E$4:$E$462,$C109)</f>
        <v>0.26379999999999998</v>
      </c>
      <c r="G109" s="15">
        <f>_xlfn.MINIFS(Col!$N$4:$N$462,Col!$C$4:$C$462,$B109,Col!$E$4:$E$462,$C109)</f>
        <v>-0.14899999999999999</v>
      </c>
      <c r="H109" s="15">
        <f>_xlfn.MAXIFS(Col!$I$4:$I$462,Col!$C$4:$C$462,$B109,Col!$E$4:$E$462,$C109)</f>
        <v>-14.786799999999999</v>
      </c>
      <c r="I109" s="15">
        <f>_xlfn.MINIFS(Col!$I$4:$I$462,Col!$C$4:$C$462,$B109,Col!$E$4:$E$462,$C109)</f>
        <v>-14.786799999999999</v>
      </c>
    </row>
    <row r="110" spans="1:9" x14ac:dyDescent="0.3">
      <c r="A110" s="14" t="s">
        <v>125</v>
      </c>
      <c r="B110" s="14" t="s">
        <v>29</v>
      </c>
      <c r="C110" s="14" t="s">
        <v>19</v>
      </c>
      <c r="D110" s="15">
        <f>_xlfn.MAXIFS(Col!$J$4:$J$462,Col!$C$4:$C$462,$B110,Col!$E$4:$E$462,$C110)</f>
        <v>0.3654</v>
      </c>
      <c r="E110" s="15">
        <f>_xlfn.MINIFS(Col!$J$4:$J$462,Col!$C$4:$C$462,$B110,Col!$E$4:$E$462,$C110)</f>
        <v>0.3654</v>
      </c>
      <c r="F110" s="15">
        <f>_xlfn.MAXIFS(Col!$N$4:$N$462,Col!$C$4:$C$462,$B110,Col!$E$4:$E$462,$C110)</f>
        <v>0.54700000000000004</v>
      </c>
      <c r="G110" s="15">
        <f>_xlfn.MINIFS(Col!$N$4:$N$462,Col!$C$4:$C$462,$B110,Col!$E$4:$E$462,$C110)</f>
        <v>7.2300000000000003E-2</v>
      </c>
      <c r="H110" s="15">
        <f>_xlfn.MAXIFS(Col!$I$4:$I$462,Col!$C$4:$C$462,$B110,Col!$E$4:$E$462,$C110)</f>
        <v>7.3899999999999993E-2</v>
      </c>
      <c r="I110" s="15">
        <f>_xlfn.MINIFS(Col!$I$4:$I$462,Col!$C$4:$C$462,$B110,Col!$E$4:$E$462,$C110)</f>
        <v>7.3899999999999993E-2</v>
      </c>
    </row>
    <row r="111" spans="1:9" x14ac:dyDescent="0.3">
      <c r="A111" s="14" t="s">
        <v>125</v>
      </c>
      <c r="B111" s="14" t="s">
        <v>29</v>
      </c>
      <c r="C111" s="14" t="s">
        <v>22</v>
      </c>
      <c r="D111" s="15">
        <f>_xlfn.MAXIFS(Col!$J$4:$J$462,Col!$C$4:$C$462,$B111,Col!$E$4:$E$462,$C111)</f>
        <v>4.3299999999999998E-2</v>
      </c>
      <c r="E111" s="15">
        <f>_xlfn.MINIFS(Col!$J$4:$J$462,Col!$C$4:$C$462,$B111,Col!$E$4:$E$462,$C111)</f>
        <v>4.3299999999999998E-2</v>
      </c>
      <c r="F111" s="15">
        <f>_xlfn.MAXIFS(Col!$N$4:$N$462,Col!$C$4:$C$462,$B111,Col!$E$4:$E$462,$C111)</f>
        <v>5.9900000000000002E-2</v>
      </c>
      <c r="G111" s="15">
        <f>_xlfn.MINIFS(Col!$N$4:$N$462,Col!$C$4:$C$462,$B111,Col!$E$4:$E$462,$C111)</f>
        <v>6.7000000000000002E-3</v>
      </c>
      <c r="H111" s="15">
        <f>_xlfn.MAXIFS(Col!$I$4:$I$462,Col!$C$4:$C$462,$B111,Col!$E$4:$E$462,$C111)</f>
        <v>0.47270000000000001</v>
      </c>
      <c r="I111" s="15">
        <f>_xlfn.MINIFS(Col!$I$4:$I$462,Col!$C$4:$C$462,$B111,Col!$E$4:$E$462,$C111)</f>
        <v>0.47270000000000001</v>
      </c>
    </row>
    <row r="112" spans="1:9" x14ac:dyDescent="0.3">
      <c r="A112" s="14" t="s">
        <v>125</v>
      </c>
      <c r="B112" s="14" t="s">
        <v>107</v>
      </c>
      <c r="C112" s="14" t="s">
        <v>14</v>
      </c>
      <c r="D112" s="15">
        <f>_xlfn.MAXIFS(Col!$J$4:$J$462,Col!$C$4:$C$462,$B112,Col!$E$4:$E$462,$C112)</f>
        <v>-2.1619999999999999</v>
      </c>
      <c r="E112" s="15">
        <f>_xlfn.MINIFS(Col!$J$4:$J$462,Col!$C$4:$C$462,$B112,Col!$E$4:$E$462,$C112)</f>
        <v>-2.1619999999999999</v>
      </c>
      <c r="F112" s="15">
        <f>_xlfn.MAXIFS(Col!$N$4:$N$462,Col!$C$4:$C$462,$B112,Col!$E$4:$E$462,$C112)</f>
        <v>3.8178999999999998</v>
      </c>
      <c r="G112" s="15">
        <f>_xlfn.MINIFS(Col!$N$4:$N$462,Col!$C$4:$C$462,$B112,Col!$E$4:$E$462,$C112)</f>
        <v>-1.8032999999999999</v>
      </c>
      <c r="H112" s="15">
        <f>_xlfn.MAXIFS(Col!$I$4:$I$462,Col!$C$4:$C$462,$B112,Col!$E$4:$E$462,$C112)</f>
        <v>-24.6799</v>
      </c>
      <c r="I112" s="15">
        <f>_xlfn.MINIFS(Col!$I$4:$I$462,Col!$C$4:$C$462,$B112,Col!$E$4:$E$462,$C112)</f>
        <v>-25.654900000000001</v>
      </c>
    </row>
    <row r="113" spans="1:9" x14ac:dyDescent="0.3">
      <c r="A113" s="14" t="s">
        <v>125</v>
      </c>
      <c r="B113" s="14" t="s">
        <v>107</v>
      </c>
      <c r="C113" s="14" t="s">
        <v>18</v>
      </c>
      <c r="D113" s="15">
        <f>_xlfn.MAXIFS(Col!$J$4:$J$462,Col!$C$4:$C$462,$B113,Col!$E$4:$E$462,$C113)</f>
        <v>-2.0221</v>
      </c>
      <c r="E113" s="15">
        <f>_xlfn.MINIFS(Col!$J$4:$J$462,Col!$C$4:$C$462,$B113,Col!$E$4:$E$462,$C113)</f>
        <v>-2.0221</v>
      </c>
      <c r="F113" s="15">
        <f>_xlfn.MAXIFS(Col!$N$4:$N$462,Col!$C$4:$C$462,$B113,Col!$E$4:$E$462,$C113)</f>
        <v>3.5691999999999999</v>
      </c>
      <c r="G113" s="15">
        <f>_xlfn.MINIFS(Col!$N$4:$N$462,Col!$C$4:$C$462,$B113,Col!$E$4:$E$462,$C113)</f>
        <v>-1.6883999999999999</v>
      </c>
      <c r="H113" s="15">
        <f>_xlfn.MAXIFS(Col!$I$4:$I$462,Col!$C$4:$C$462,$B113,Col!$E$4:$E$462,$C113)</f>
        <v>-21.554200000000002</v>
      </c>
      <c r="I113" s="15">
        <f>_xlfn.MINIFS(Col!$I$4:$I$462,Col!$C$4:$C$462,$B113,Col!$E$4:$E$462,$C113)</f>
        <v>-21.554200000000002</v>
      </c>
    </row>
    <row r="114" spans="1:9" x14ac:dyDescent="0.3">
      <c r="A114" s="14" t="s">
        <v>125</v>
      </c>
      <c r="B114" s="14" t="s">
        <v>107</v>
      </c>
      <c r="C114" s="14" t="s">
        <v>19</v>
      </c>
      <c r="D114" s="15">
        <f>_xlfn.MAXIFS(Col!$J$4:$J$462,Col!$C$4:$C$462,$B114,Col!$E$4:$E$462,$C114)</f>
        <v>0.28339999999999999</v>
      </c>
      <c r="E114" s="15">
        <f>_xlfn.MINIFS(Col!$J$4:$J$462,Col!$C$4:$C$462,$B114,Col!$E$4:$E$462,$C114)</f>
        <v>0.28339999999999999</v>
      </c>
      <c r="F114" s="15">
        <f>_xlfn.MAXIFS(Col!$N$4:$N$462,Col!$C$4:$C$462,$B114,Col!$E$4:$E$462,$C114)</f>
        <v>0.42859999999999998</v>
      </c>
      <c r="G114" s="15">
        <f>_xlfn.MINIFS(Col!$N$4:$N$462,Col!$C$4:$C$462,$B114,Col!$E$4:$E$462,$C114)</f>
        <v>6.0199999999999997E-2</v>
      </c>
      <c r="H114" s="15">
        <f>_xlfn.MAXIFS(Col!$I$4:$I$462,Col!$C$4:$C$462,$B114,Col!$E$4:$E$462,$C114)</f>
        <v>3.5299999999999998E-2</v>
      </c>
      <c r="I114" s="15">
        <f>_xlfn.MINIFS(Col!$I$4:$I$462,Col!$C$4:$C$462,$B114,Col!$E$4:$E$462,$C114)</f>
        <v>3.5299999999999998E-2</v>
      </c>
    </row>
    <row r="115" spans="1:9" x14ac:dyDescent="0.3">
      <c r="A115" s="14" t="s">
        <v>125</v>
      </c>
      <c r="B115" s="14" t="s">
        <v>107</v>
      </c>
      <c r="C115" s="14" t="s">
        <v>22</v>
      </c>
      <c r="D115" s="15">
        <f>_xlfn.MAXIFS(Col!$J$4:$J$462,Col!$C$4:$C$462,$B115,Col!$E$4:$E$462,$C115)</f>
        <v>5.3400000000000003E-2</v>
      </c>
      <c r="E115" s="15">
        <f>_xlfn.MINIFS(Col!$J$4:$J$462,Col!$C$4:$C$462,$B115,Col!$E$4:$E$462,$C115)</f>
        <v>5.3400000000000003E-2</v>
      </c>
      <c r="F115" s="15">
        <f>_xlfn.MAXIFS(Col!$N$4:$N$462,Col!$C$4:$C$462,$B115,Col!$E$4:$E$462,$C115)</f>
        <v>7.5600000000000001E-2</v>
      </c>
      <c r="G115" s="15">
        <f>_xlfn.MINIFS(Col!$N$4:$N$462,Col!$C$4:$C$462,$B115,Col!$E$4:$E$462,$C115)</f>
        <v>1.23E-2</v>
      </c>
      <c r="H115" s="15">
        <f>_xlfn.MAXIFS(Col!$I$4:$I$462,Col!$C$4:$C$462,$B115,Col!$E$4:$E$462,$C115)</f>
        <v>3.9399999999999998E-2</v>
      </c>
      <c r="I115" s="15">
        <f>_xlfn.MINIFS(Col!$I$4:$I$462,Col!$C$4:$C$462,$B115,Col!$E$4:$E$462,$C115)</f>
        <v>3.9399999999999998E-2</v>
      </c>
    </row>
    <row r="116" spans="1:9" x14ac:dyDescent="0.3">
      <c r="A116" s="14" t="s">
        <v>125</v>
      </c>
      <c r="B116" s="14" t="s">
        <v>108</v>
      </c>
      <c r="C116" s="14" t="s">
        <v>14</v>
      </c>
      <c r="D116" s="15">
        <f>_xlfn.MAXIFS(Col!$J$4:$J$462,Col!$C$4:$C$462,$B116,Col!$E$4:$E$462,$C116)</f>
        <v>-2.7568000000000001</v>
      </c>
      <c r="E116" s="15">
        <f>_xlfn.MINIFS(Col!$J$4:$J$462,Col!$C$4:$C$462,$B116,Col!$E$4:$E$462,$C116)</f>
        <v>-2.7568000000000001</v>
      </c>
      <c r="F116" s="15">
        <f>_xlfn.MAXIFS(Col!$N$4:$N$462,Col!$C$4:$C$462,$B116,Col!$E$4:$E$462,$C116)</f>
        <v>4.8795999999999999</v>
      </c>
      <c r="G116" s="15">
        <f>_xlfn.MINIFS(Col!$N$4:$N$462,Col!$C$4:$C$462,$B116,Col!$E$4:$E$462,$C116)</f>
        <v>-2.2881</v>
      </c>
      <c r="H116" s="15">
        <f>_xlfn.MAXIFS(Col!$I$4:$I$462,Col!$C$4:$C$462,$B116,Col!$E$4:$E$462,$C116)</f>
        <v>-24.045999999999999</v>
      </c>
      <c r="I116" s="15">
        <f>_xlfn.MINIFS(Col!$I$4:$I$462,Col!$C$4:$C$462,$B116,Col!$E$4:$E$462,$C116)</f>
        <v>-25.021000000000001</v>
      </c>
    </row>
    <row r="117" spans="1:9" x14ac:dyDescent="0.3">
      <c r="A117" s="14" t="s">
        <v>125</v>
      </c>
      <c r="B117" s="14" t="s">
        <v>108</v>
      </c>
      <c r="C117" s="14" t="s">
        <v>18</v>
      </c>
      <c r="D117" s="15">
        <f>_xlfn.MAXIFS(Col!$J$4:$J$462,Col!$C$4:$C$462,$B117,Col!$E$4:$E$462,$C117)</f>
        <v>-2.5676000000000001</v>
      </c>
      <c r="E117" s="15">
        <f>_xlfn.MINIFS(Col!$J$4:$J$462,Col!$C$4:$C$462,$B117,Col!$E$4:$E$462,$C117)</f>
        <v>-2.5676000000000001</v>
      </c>
      <c r="F117" s="15">
        <f>_xlfn.MAXIFS(Col!$N$4:$N$462,Col!$C$4:$C$462,$B117,Col!$E$4:$E$462,$C117)</f>
        <v>4.5453000000000001</v>
      </c>
      <c r="G117" s="15">
        <f>_xlfn.MINIFS(Col!$N$4:$N$462,Col!$C$4:$C$462,$B117,Col!$E$4:$E$462,$C117)</f>
        <v>-2.1303999999999998</v>
      </c>
      <c r="H117" s="15">
        <f>_xlfn.MAXIFS(Col!$I$4:$I$462,Col!$C$4:$C$462,$B117,Col!$E$4:$E$462,$C117)</f>
        <v>-20.985199999999999</v>
      </c>
      <c r="I117" s="15">
        <f>_xlfn.MINIFS(Col!$I$4:$I$462,Col!$C$4:$C$462,$B117,Col!$E$4:$E$462,$C117)</f>
        <v>-20.985199999999999</v>
      </c>
    </row>
    <row r="118" spans="1:9" x14ac:dyDescent="0.3">
      <c r="A118" s="14" t="s">
        <v>125</v>
      </c>
      <c r="B118" s="14" t="s">
        <v>108</v>
      </c>
      <c r="C118" s="14" t="s">
        <v>19</v>
      </c>
      <c r="D118" s="15">
        <f>_xlfn.MAXIFS(Col!$J$4:$J$462,Col!$C$4:$C$462,$B118,Col!$E$4:$E$462,$C118)</f>
        <v>0.31140000000000001</v>
      </c>
      <c r="E118" s="15">
        <f>_xlfn.MINIFS(Col!$J$4:$J$462,Col!$C$4:$C$462,$B118,Col!$E$4:$E$462,$C118)</f>
        <v>0.31140000000000001</v>
      </c>
      <c r="F118" s="15">
        <f>_xlfn.MAXIFS(Col!$N$4:$N$462,Col!$C$4:$C$462,$B118,Col!$E$4:$E$462,$C118)</f>
        <v>0.47839999999999999</v>
      </c>
      <c r="G118" s="15">
        <f>_xlfn.MINIFS(Col!$N$4:$N$462,Col!$C$4:$C$462,$B118,Col!$E$4:$E$462,$C118)</f>
        <v>7.3599999999999999E-2</v>
      </c>
      <c r="H118" s="15">
        <f>_xlfn.MAXIFS(Col!$I$4:$I$462,Col!$C$4:$C$462,$B118,Col!$E$4:$E$462,$C118)</f>
        <v>5.8500000000000003E-2</v>
      </c>
      <c r="I118" s="15">
        <f>_xlfn.MINIFS(Col!$I$4:$I$462,Col!$C$4:$C$462,$B118,Col!$E$4:$E$462,$C118)</f>
        <v>5.8500000000000003E-2</v>
      </c>
    </row>
    <row r="119" spans="1:9" x14ac:dyDescent="0.3">
      <c r="A119" s="14" t="s">
        <v>125</v>
      </c>
      <c r="B119" s="14" t="s">
        <v>108</v>
      </c>
      <c r="C119" s="14" t="s">
        <v>22</v>
      </c>
      <c r="D119" s="15">
        <f>_xlfn.MAXIFS(Col!$J$4:$J$462,Col!$C$4:$C$462,$B119,Col!$E$4:$E$462,$C119)</f>
        <v>3.9E-2</v>
      </c>
      <c r="E119" s="15">
        <f>_xlfn.MINIFS(Col!$J$4:$J$462,Col!$C$4:$C$462,$B119,Col!$E$4:$E$462,$C119)</f>
        <v>3.9E-2</v>
      </c>
      <c r="F119" s="15">
        <f>_xlfn.MAXIFS(Col!$N$4:$N$462,Col!$C$4:$C$462,$B119,Col!$E$4:$E$462,$C119)</f>
        <v>5.9200000000000003E-2</v>
      </c>
      <c r="G119" s="15">
        <f>_xlfn.MINIFS(Col!$N$4:$N$462,Col!$C$4:$C$462,$B119,Col!$E$4:$E$462,$C119)</f>
        <v>1.0800000000000001E-2</v>
      </c>
      <c r="H119" s="15">
        <f>_xlfn.MAXIFS(Col!$I$4:$I$462,Col!$C$4:$C$462,$B119,Col!$E$4:$E$462,$C119)</f>
        <v>0.15</v>
      </c>
      <c r="I119" s="15">
        <f>_xlfn.MINIFS(Col!$I$4:$I$462,Col!$C$4:$C$462,$B119,Col!$E$4:$E$462,$C119)</f>
        <v>0.15</v>
      </c>
    </row>
    <row r="120" spans="1:9" x14ac:dyDescent="0.3">
      <c r="A120" s="14" t="s">
        <v>125</v>
      </c>
      <c r="B120" s="14" t="s">
        <v>109</v>
      </c>
      <c r="C120" s="14" t="s">
        <v>14</v>
      </c>
      <c r="D120" s="15">
        <f>_xlfn.MAXIFS(Col!$J$4:$J$462,Col!$C$4:$C$462,$B120,Col!$E$4:$E$462,$C120)</f>
        <v>-2.6909999999999998</v>
      </c>
      <c r="E120" s="15">
        <f>_xlfn.MINIFS(Col!$J$4:$J$462,Col!$C$4:$C$462,$B120,Col!$E$4:$E$462,$C120)</f>
        <v>-2.6909999999999998</v>
      </c>
      <c r="F120" s="15">
        <f>_xlfn.MAXIFS(Col!$N$4:$N$462,Col!$C$4:$C$462,$B120,Col!$E$4:$E$462,$C120)</f>
        <v>4.7652999999999999</v>
      </c>
      <c r="G120" s="15">
        <f>_xlfn.MINIFS(Col!$N$4:$N$462,Col!$C$4:$C$462,$B120,Col!$E$4:$E$462,$C120)</f>
        <v>-2.2311999999999999</v>
      </c>
      <c r="H120" s="15">
        <f>_xlfn.MAXIFS(Col!$I$4:$I$462,Col!$C$4:$C$462,$B120,Col!$E$4:$E$462,$C120)</f>
        <v>-23.234400000000001</v>
      </c>
      <c r="I120" s="15">
        <f>_xlfn.MINIFS(Col!$I$4:$I$462,Col!$C$4:$C$462,$B120,Col!$E$4:$E$462,$C120)</f>
        <v>-24.209399999999999</v>
      </c>
    </row>
    <row r="121" spans="1:9" x14ac:dyDescent="0.3">
      <c r="A121" s="14" t="s">
        <v>125</v>
      </c>
      <c r="B121" s="14" t="s">
        <v>109</v>
      </c>
      <c r="C121" s="14" t="s">
        <v>18</v>
      </c>
      <c r="D121" s="15">
        <f>_xlfn.MAXIFS(Col!$J$4:$J$462,Col!$C$4:$C$462,$B121,Col!$E$4:$E$462,$C121)</f>
        <v>-2.5192999999999999</v>
      </c>
      <c r="E121" s="15">
        <f>_xlfn.MINIFS(Col!$J$4:$J$462,Col!$C$4:$C$462,$B121,Col!$E$4:$E$462,$C121)</f>
        <v>-2.5192999999999999</v>
      </c>
      <c r="F121" s="15">
        <f>_xlfn.MAXIFS(Col!$N$4:$N$462,Col!$C$4:$C$462,$B121,Col!$E$4:$E$462,$C121)</f>
        <v>4.4642999999999997</v>
      </c>
      <c r="G121" s="15">
        <f>_xlfn.MINIFS(Col!$N$4:$N$462,Col!$C$4:$C$462,$B121,Col!$E$4:$E$462,$C121)</f>
        <v>-2.0857999999999999</v>
      </c>
      <c r="H121" s="15">
        <f>_xlfn.MAXIFS(Col!$I$4:$I$462,Col!$C$4:$C$462,$B121,Col!$E$4:$E$462,$C121)</f>
        <v>-20.081399999999999</v>
      </c>
      <c r="I121" s="15">
        <f>_xlfn.MINIFS(Col!$I$4:$I$462,Col!$C$4:$C$462,$B121,Col!$E$4:$E$462,$C121)</f>
        <v>-20.081399999999999</v>
      </c>
    </row>
    <row r="122" spans="1:9" x14ac:dyDescent="0.3">
      <c r="A122" s="14" t="s">
        <v>125</v>
      </c>
      <c r="B122" s="14" t="s">
        <v>109</v>
      </c>
      <c r="C122" s="14" t="s">
        <v>19</v>
      </c>
      <c r="D122" s="15">
        <f>_xlfn.MAXIFS(Col!$J$4:$J$462,Col!$C$4:$C$462,$B122,Col!$E$4:$E$462,$C122)</f>
        <v>0.33090000000000003</v>
      </c>
      <c r="E122" s="15">
        <f>_xlfn.MINIFS(Col!$J$4:$J$462,Col!$C$4:$C$462,$B122,Col!$E$4:$E$462,$C122)</f>
        <v>0.33090000000000003</v>
      </c>
      <c r="F122" s="15">
        <f>_xlfn.MAXIFS(Col!$N$4:$N$462,Col!$C$4:$C$462,$B122,Col!$E$4:$E$462,$C122)</f>
        <v>0.51880000000000004</v>
      </c>
      <c r="G122" s="15">
        <f>_xlfn.MINIFS(Col!$N$4:$N$462,Col!$C$4:$C$462,$B122,Col!$E$4:$E$462,$C122)</f>
        <v>8.8599999999999998E-2</v>
      </c>
      <c r="H122" s="15">
        <f>_xlfn.MAXIFS(Col!$I$4:$I$462,Col!$C$4:$C$462,$B122,Col!$E$4:$E$462,$C122)</f>
        <v>0.31430000000000002</v>
      </c>
      <c r="I122" s="15">
        <f>_xlfn.MINIFS(Col!$I$4:$I$462,Col!$C$4:$C$462,$B122,Col!$E$4:$E$462,$C122)</f>
        <v>0.31430000000000002</v>
      </c>
    </row>
    <row r="123" spans="1:9" x14ac:dyDescent="0.3">
      <c r="A123" s="14" t="s">
        <v>125</v>
      </c>
      <c r="B123" s="14" t="s">
        <v>109</v>
      </c>
      <c r="C123" s="14" t="s">
        <v>22</v>
      </c>
      <c r="D123" s="15">
        <f>_xlfn.MAXIFS(Col!$J$4:$J$462,Col!$C$4:$C$462,$B123,Col!$E$4:$E$462,$C123)</f>
        <v>3.2099999999999997E-2</v>
      </c>
      <c r="E123" s="15">
        <f>_xlfn.MINIFS(Col!$J$4:$J$462,Col!$C$4:$C$462,$B123,Col!$E$4:$E$462,$C123)</f>
        <v>3.2099999999999997E-2</v>
      </c>
      <c r="F123" s="15">
        <f>_xlfn.MAXIFS(Col!$N$4:$N$462,Col!$C$4:$C$462,$B123,Col!$E$4:$E$462,$C123)</f>
        <v>5.1200000000000002E-2</v>
      </c>
      <c r="G123" s="15">
        <f>_xlfn.MINIFS(Col!$N$4:$N$462,Col!$C$4:$C$462,$B123,Col!$E$4:$E$462,$C123)</f>
        <v>9.4999999999999998E-3</v>
      </c>
      <c r="H123" s="15">
        <f>_xlfn.MAXIFS(Col!$I$4:$I$462,Col!$C$4:$C$462,$B123,Col!$E$4:$E$462,$C123)</f>
        <v>0.56269999999999998</v>
      </c>
      <c r="I123" s="15">
        <f>_xlfn.MINIFS(Col!$I$4:$I$462,Col!$C$4:$C$462,$B123,Col!$E$4:$E$462,$C123)</f>
        <v>0.56269999999999998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C5DF-39A1-4BE3-BEF2-6FA34A114A3F}">
  <dimension ref="A1:I37"/>
  <sheetViews>
    <sheetView tabSelected="1" topLeftCell="A12" workbookViewId="0">
      <selection activeCell="M6" sqref="M6"/>
    </sheetView>
  </sheetViews>
  <sheetFormatPr baseColWidth="10" defaultRowHeight="14.4" x14ac:dyDescent="0.3"/>
  <cols>
    <col min="1" max="1" width="21.77734375" bestFit="1" customWidth="1"/>
    <col min="2" max="5" width="6.5546875" bestFit="1" customWidth="1"/>
    <col min="6" max="6" width="8.77734375" bestFit="1" customWidth="1"/>
    <col min="7" max="7" width="10.88671875" bestFit="1" customWidth="1"/>
    <col min="8" max="8" width="10.77734375" bestFit="1" customWidth="1"/>
    <col min="9" max="9" width="7.33203125" bestFit="1" customWidth="1"/>
  </cols>
  <sheetData>
    <row r="1" spans="1:9" ht="18" x14ac:dyDescent="0.35">
      <c r="A1" s="22" t="s">
        <v>88</v>
      </c>
    </row>
    <row r="3" spans="1:9" ht="15" thickBot="1" x14ac:dyDescent="0.35">
      <c r="A3" s="23" t="s">
        <v>0</v>
      </c>
      <c r="B3" s="23" t="s">
        <v>89</v>
      </c>
      <c r="C3" s="23" t="s">
        <v>90</v>
      </c>
      <c r="D3" s="23" t="s">
        <v>91</v>
      </c>
      <c r="E3" s="23" t="s">
        <v>92</v>
      </c>
      <c r="F3" s="23" t="s">
        <v>93</v>
      </c>
      <c r="G3" s="23" t="s">
        <v>94</v>
      </c>
      <c r="H3" s="23" t="s">
        <v>95</v>
      </c>
      <c r="I3" s="23" t="s">
        <v>98</v>
      </c>
    </row>
    <row r="4" spans="1:9" x14ac:dyDescent="0.3">
      <c r="A4" t="s">
        <v>34</v>
      </c>
      <c r="B4" s="18">
        <f>INDEX(Geometría!$V$3:$V$70,MATCH($A4,Geometría!$AB$3:$AB$70,0))</f>
        <v>4.4013280130738917</v>
      </c>
      <c r="C4" s="18">
        <f>INDEX(Geometría!$W$3:$W$70,MATCH($A4,Geometría!$AB$3:$AB$70,0))</f>
        <v>5.2335349457838252</v>
      </c>
      <c r="D4" s="18" cm="1">
        <f t="array" ref="D4">LOOKUP(2,1/(Geometría!$AB$3:$AB$70=$A4),Geometría!$X$3:$X$70)</f>
        <v>4.4013280130715557</v>
      </c>
      <c r="E4" s="18" cm="1">
        <f t="array" ref="E4">LOOKUP(2,1/(Geometría!$AB$3:$AB$70=$A4),Geometría!$Y$3:$Y$70)</f>
        <v>52.675860141103307</v>
      </c>
      <c r="F4" s="21">
        <f>SUMIF(Geometría!$AB$3:$AB$70,$A4,Geometría!$Z$3:$Z$70)</f>
        <v>47.442325195319484</v>
      </c>
      <c r="G4" s="18">
        <f>INDEX(Geometría!$AA$3:$AA$70,MATCH($A4,Geometría!$AB$3:$AB$70,0))</f>
        <v>0.2</v>
      </c>
      <c r="H4" s="19" t="str">
        <f>IFERROR(IF(SUMIF(Geometría!$AB$3:$AB$70,$A4,Geometría!$AC$3:$AC$70)&gt;9*SUMIF(Geometría!$AB$3:$AB$70,$A4,Geometría!$AD$3:$AD$70),"X",IF(SUMIF(Geometría!$AB$3:$AB$70,$A4,Geometría!$AD$3:$AD$70)&gt;9*SUMIF(Geometría!$AB$3:$AB$70,$A4,Geometría!$AC$3:$AC$70),"Y","Diag "&amp;TEXT(DEGREES(ATAN2(SUMIF(Geometría!$AB$3:$AB$70,$A4,Geometría!$AC$3:$AC$70),SUMIF(Geometría!$AB$3:$AB$70,$A4,Geometría!$AD$3:$AD$70))),"0.0")&amp;"°")),"-")</f>
        <v>Y</v>
      </c>
      <c r="I4" s="17">
        <f>COUNTIF(Geometría!$AB$3:$AB$70,$A4)</f>
        <v>1</v>
      </c>
    </row>
    <row r="5" spans="1:9" x14ac:dyDescent="0.3">
      <c r="A5" t="s">
        <v>13</v>
      </c>
      <c r="B5" s="18">
        <f>INDEX(Geometría!$V$3:$V$70,MATCH($A5,Geometría!$AB$3:$AB$70,0))</f>
        <v>4.4013280130715557</v>
      </c>
      <c r="C5" s="18">
        <f>INDEX(Geometría!$W$3:$W$70,MATCH($A5,Geometría!$AB$3:$AB$70,0))</f>
        <v>52.675860141103307</v>
      </c>
      <c r="D5" s="18" cm="1">
        <f t="array" ref="D5">LOOKUP(2,1/(Geometría!$AB$3:$AB$70=$A5),Geometría!$X$3:$X$70)</f>
        <v>30.601328013066119</v>
      </c>
      <c r="E5" s="18" cm="1">
        <f t="array" ref="E5">LOOKUP(2,1/(Geometría!$AB$3:$AB$70=$A5),Geometría!$Y$3:$Y$70)</f>
        <v>52.675860141103811</v>
      </c>
      <c r="F5" s="21">
        <f>SUMIF(Geometría!$AB$3:$AB$70,$A5,Geometría!$Z$3:$Z$70)</f>
        <v>26.199999999994564</v>
      </c>
      <c r="G5" s="18">
        <f>INDEX(Geometría!$AA$3:$AA$70,MATCH($A5,Geometría!$AB$3:$AB$70,0))</f>
        <v>0.2</v>
      </c>
      <c r="H5" s="19" t="str">
        <f>IFERROR(IF(SUMIF(Geometría!$AB$3:$AB$70,$A5,Geometría!$AC$3:$AC$70)&gt;9*SUMIF(Geometría!$AB$3:$AB$70,$A5,Geometría!$AD$3:$AD$70),"X",IF(SUMIF(Geometría!$AB$3:$AB$70,$A5,Geometría!$AD$3:$AD$70)&gt;9*SUMIF(Geometría!$AB$3:$AB$70,$A5,Geometría!$AC$3:$AC$70),"Y","Diag "&amp;TEXT(DEGREES(ATAN2(SUMIF(Geometría!$AB$3:$AB$70,$A5,Geometría!$AC$3:$AC$70),SUMIF(Geometría!$AB$3:$AB$70,$A5,Geometría!$AD$3:$AD$70))),"0.0")&amp;"°")),"-")</f>
        <v>X</v>
      </c>
      <c r="I5" s="17">
        <f>COUNTIF(Geometría!$AB$3:$AB$70,$A5)</f>
        <v>1</v>
      </c>
    </row>
    <row r="6" spans="1:9" x14ac:dyDescent="0.3">
      <c r="A6" t="s">
        <v>35</v>
      </c>
      <c r="B6" s="18">
        <f>INDEX(Geometría!$V$3:$V$70,MATCH($A6,Geometría!$AB$3:$AB$70,0))</f>
        <v>30.601328013066119</v>
      </c>
      <c r="C6" s="18">
        <f>INDEX(Geometría!$W$3:$W$70,MATCH($A6,Geometría!$AB$3:$AB$70,0))</f>
        <v>52.675860141103811</v>
      </c>
      <c r="D6" s="18" cm="1">
        <f t="array" ref="D6">LOOKUP(2,1/(Geometría!$AB$3:$AB$70=$A6),Geometría!$X$3:$X$70)</f>
        <v>30.601328013070948</v>
      </c>
      <c r="E6" s="18" cm="1">
        <f t="array" ref="E6">LOOKUP(2,1/(Geometría!$AB$3:$AB$70=$A6),Geometría!$Y$3:$Y$70)</f>
        <v>22.455860141083441</v>
      </c>
      <c r="F6" s="21">
        <f>SUMIF(Geometría!$AB$3:$AB$70,$A6,Geometría!$Z$3:$Z$70)</f>
        <v>30.22000000002037</v>
      </c>
      <c r="G6" s="18">
        <f>INDEX(Geometría!$AA$3:$AA$70,MATCH($A6,Geometría!$AB$3:$AB$70,0))</f>
        <v>0.2</v>
      </c>
      <c r="H6" s="19" t="str">
        <f>IFERROR(IF(SUMIF(Geometría!$AB$3:$AB$70,$A6,Geometría!$AC$3:$AC$70)&gt;9*SUMIF(Geometría!$AB$3:$AB$70,$A6,Geometría!$AD$3:$AD$70),"X",IF(SUMIF(Geometría!$AB$3:$AB$70,$A6,Geometría!$AD$3:$AD$70)&gt;9*SUMIF(Geometría!$AB$3:$AB$70,$A6,Geometría!$AC$3:$AC$70),"Y","Diag "&amp;TEXT(DEGREES(ATAN2(SUMIF(Geometría!$AB$3:$AB$70,$A6,Geometría!$AC$3:$AC$70),SUMIF(Geometría!$AB$3:$AB$70,$A6,Geometría!$AD$3:$AD$70))),"0.0")&amp;"°")),"-")</f>
        <v>Y</v>
      </c>
      <c r="I6" s="17">
        <f>COUNTIF(Geometría!$AB$3:$AB$70,$A6)</f>
        <v>1</v>
      </c>
    </row>
    <row r="7" spans="1:9" x14ac:dyDescent="0.3">
      <c r="A7" t="s">
        <v>36</v>
      </c>
      <c r="B7" s="18">
        <f>INDEX(Geometría!$V$3:$V$70,MATCH($A7,Geometría!$AB$3:$AB$70,0))</f>
        <v>30.601328013070948</v>
      </c>
      <c r="C7" s="18">
        <f>INDEX(Geometría!$W$3:$W$70,MATCH($A7,Geometría!$AB$3:$AB$70,0))</f>
        <v>22.455860141083441</v>
      </c>
      <c r="D7" s="18" cm="1">
        <f t="array" ref="D7">LOOKUP(2,1/(Geometría!$AB$3:$AB$70=$A7),Geometría!$X$3:$X$70)</f>
        <v>27.251328013072406</v>
      </c>
      <c r="E7" s="18" cm="1">
        <f t="array" ref="E7">LOOKUP(2,1/(Geometría!$AB$3:$AB$70=$A7),Geometría!$Y$3:$Y$70)</f>
        <v>22.455860141083441</v>
      </c>
      <c r="F7" s="21">
        <f>SUMIF(Geometría!$AB$3:$AB$70,$A7,Geometría!$Z$3:$Z$70)</f>
        <v>3.3499999999985413</v>
      </c>
      <c r="G7" s="18">
        <f>INDEX(Geometría!$AA$3:$AA$70,MATCH($A7,Geometría!$AB$3:$AB$70,0))</f>
        <v>0.2</v>
      </c>
      <c r="H7" s="19" t="str">
        <f>IFERROR(IF(SUMIF(Geometría!$AB$3:$AB$70,$A7,Geometría!$AC$3:$AC$70)&gt;9*SUMIF(Geometría!$AB$3:$AB$70,$A7,Geometría!$AD$3:$AD$70),"X",IF(SUMIF(Geometría!$AB$3:$AB$70,$A7,Geometría!$AD$3:$AD$70)&gt;9*SUMIF(Geometría!$AB$3:$AB$70,$A7,Geometría!$AC$3:$AC$70),"Y","Diag "&amp;TEXT(DEGREES(ATAN2(SUMIF(Geometría!$AB$3:$AB$70,$A7,Geometría!$AC$3:$AC$70),SUMIF(Geometría!$AB$3:$AB$70,$A7,Geometría!$AD$3:$AD$70))),"0.0")&amp;"°")),"-")</f>
        <v>X</v>
      </c>
      <c r="I7" s="17">
        <f>COUNTIF(Geometría!$AB$3:$AB$70,$A7)</f>
        <v>1</v>
      </c>
    </row>
    <row r="8" spans="1:9" x14ac:dyDescent="0.3">
      <c r="A8" t="s">
        <v>37</v>
      </c>
      <c r="B8" s="18">
        <f>INDEX(Geometría!$V$3:$V$70,MATCH($A8,Geometría!$AB$3:$AB$70,0))</f>
        <v>27.251328013072406</v>
      </c>
      <c r="C8" s="18">
        <f>INDEX(Geometría!$W$3:$W$70,MATCH($A8,Geometría!$AB$3:$AB$70,0))</f>
        <v>22.455860141083441</v>
      </c>
      <c r="D8" s="18" cm="1">
        <f t="array" ref="D8">LOOKUP(2,1/(Geometría!$AB$3:$AB$70=$A8),Geometría!$X$3:$X$70)</f>
        <v>27.251328013079775</v>
      </c>
      <c r="E8" s="18" cm="1">
        <f t="array" ref="E8">LOOKUP(2,1/(Geometría!$AB$3:$AB$70=$A8),Geometría!$Y$3:$Y$70)</f>
        <v>12.960457082536076</v>
      </c>
      <c r="F8" s="21">
        <f>SUMIF(Geometría!$AB$3:$AB$70,$A8,Geometría!$Z$3:$Z$70)</f>
        <v>9.4954030585473657</v>
      </c>
      <c r="G8" s="18">
        <f>INDEX(Geometría!$AA$3:$AA$70,MATCH($A8,Geometría!$AB$3:$AB$70,0))</f>
        <v>0.2</v>
      </c>
      <c r="H8" s="19" t="str">
        <f>IFERROR(IF(SUMIF(Geometría!$AB$3:$AB$70,$A8,Geometría!$AC$3:$AC$70)&gt;9*SUMIF(Geometría!$AB$3:$AB$70,$A8,Geometría!$AD$3:$AD$70),"X",IF(SUMIF(Geometría!$AB$3:$AB$70,$A8,Geometría!$AD$3:$AD$70)&gt;9*SUMIF(Geometría!$AB$3:$AB$70,$A8,Geometría!$AC$3:$AC$70),"Y","Diag "&amp;TEXT(DEGREES(ATAN2(SUMIF(Geometría!$AB$3:$AB$70,$A8,Geometría!$AC$3:$AC$70),SUMIF(Geometría!$AB$3:$AB$70,$A8,Geometría!$AD$3:$AD$70))),"0.0")&amp;"°")),"-")</f>
        <v>Y</v>
      </c>
      <c r="I8" s="17">
        <f>COUNTIF(Geometría!$AB$3:$AB$70,$A8)</f>
        <v>1</v>
      </c>
    </row>
    <row r="9" spans="1:9" x14ac:dyDescent="0.3">
      <c r="A9" t="s">
        <v>51</v>
      </c>
      <c r="B9" s="18">
        <f>INDEX(Geometría!$V$3:$V$70,MATCH($A9,Geometría!$AB$3:$AB$70,0))</f>
        <v>9.8913280130765955</v>
      </c>
      <c r="C9" s="18">
        <f>INDEX(Geometría!$W$3:$W$70,MATCH($A9,Geometría!$AB$3:$AB$70,0))</f>
        <v>31.880405044285908</v>
      </c>
      <c r="D9" s="18" cm="1">
        <f t="array" ref="D9">LOOKUP(2,1/(Geometría!$AB$3:$AB$70=$A9),Geometría!$X$3:$X$70)</f>
        <v>11.173828012863744</v>
      </c>
      <c r="E9" s="18" cm="1">
        <f t="array" ref="E9">LOOKUP(2,1/(Geometría!$AB$3:$AB$70=$A9),Geometría!$Y$3:$Y$70)</f>
        <v>31.880405044285908</v>
      </c>
      <c r="F9" s="21">
        <f>SUMIF(Geometría!$AB$3:$AB$70,$A9,Geometría!$Z$3:$Z$70)</f>
        <v>1.2824999997871487</v>
      </c>
      <c r="G9" s="18">
        <f>INDEX(Geometría!$AA$3:$AA$70,MATCH($A9,Geometría!$AB$3:$AB$70,0))</f>
        <v>0.25</v>
      </c>
      <c r="H9" s="19" t="str">
        <f>IFERROR(IF(SUMIF(Geometría!$AB$3:$AB$70,$A9,Geometría!$AC$3:$AC$70)&gt;9*SUMIF(Geometría!$AB$3:$AB$70,$A9,Geometría!$AD$3:$AD$70),"X",IF(SUMIF(Geometría!$AB$3:$AB$70,$A9,Geometría!$AD$3:$AD$70)&gt;9*SUMIF(Geometría!$AB$3:$AB$70,$A9,Geometría!$AC$3:$AC$70),"Y","Diag "&amp;TEXT(DEGREES(ATAN2(SUMIF(Geometría!$AB$3:$AB$70,$A9,Geometría!$AC$3:$AC$70),SUMIF(Geometría!$AB$3:$AB$70,$A9,Geometría!$AD$3:$AD$70))),"0.0")&amp;"°")),"-")</f>
        <v>X</v>
      </c>
      <c r="I9" s="17">
        <f>COUNTIF(Geometría!$AB$3:$AB$70,$A9)</f>
        <v>1</v>
      </c>
    </row>
    <row r="10" spans="1:9" x14ac:dyDescent="0.3">
      <c r="A10" t="s">
        <v>50</v>
      </c>
      <c r="B10" s="18">
        <f>INDEX(Geometría!$V$3:$V$70,MATCH($A10,Geometría!$AB$3:$AB$70,0))</f>
        <v>9.8913280130736752</v>
      </c>
      <c r="C10" s="18">
        <f>INDEX(Geometría!$W$3:$W$70,MATCH($A10,Geometría!$AB$3:$AB$70,0))</f>
        <v>28.080405044284852</v>
      </c>
      <c r="D10" s="18" cm="1">
        <f t="array" ref="D10">LOOKUP(2,1/(Geometría!$AB$3:$AB$70=$A10),Geometría!$X$3:$X$70)</f>
        <v>9.8913280130765955</v>
      </c>
      <c r="E10" s="18" cm="1">
        <f t="array" ref="E10">LOOKUP(2,1/(Geometría!$AB$3:$AB$70=$A10),Geometría!$Y$3:$Y$70)</f>
        <v>31.880405044285908</v>
      </c>
      <c r="F10" s="21">
        <f>SUMIF(Geometría!$AB$3:$AB$70,$A10,Geometría!$Z$3:$Z$70)</f>
        <v>3.8000000000010559</v>
      </c>
      <c r="G10" s="18">
        <f>INDEX(Geometría!$AA$3:$AA$70,MATCH($A10,Geometría!$AB$3:$AB$70,0))</f>
        <v>0.25</v>
      </c>
      <c r="H10" s="19" t="str">
        <f>IFERROR(IF(SUMIF(Geometría!$AB$3:$AB$70,$A10,Geometría!$AC$3:$AC$70)&gt;9*SUMIF(Geometría!$AB$3:$AB$70,$A10,Geometría!$AD$3:$AD$70),"X",IF(SUMIF(Geometría!$AB$3:$AB$70,$A10,Geometría!$AD$3:$AD$70)&gt;9*SUMIF(Geometría!$AB$3:$AB$70,$A10,Geometría!$AC$3:$AC$70),"Y","Diag "&amp;TEXT(DEGREES(ATAN2(SUMIF(Geometría!$AB$3:$AB$70,$A10,Geometría!$AC$3:$AC$70),SUMIF(Geometría!$AB$3:$AB$70,$A10,Geometría!$AD$3:$AD$70))),"0.0")&amp;"°")),"-")</f>
        <v>Y</v>
      </c>
      <c r="I10" s="17">
        <f>COUNTIF(Geometría!$AB$3:$AB$70,$A10)</f>
        <v>1</v>
      </c>
    </row>
    <row r="11" spans="1:9" x14ac:dyDescent="0.3">
      <c r="A11" t="s">
        <v>40</v>
      </c>
      <c r="B11" s="18">
        <f>INDEX(Geometría!$V$3:$V$70,MATCH($A11,Geometría!$AB$3:$AB$70,0))</f>
        <v>15.519698702522989</v>
      </c>
      <c r="C11" s="18">
        <f>INDEX(Geometría!$W$3:$W$70,MATCH($A11,Geometría!$AB$3:$AB$70,0))</f>
        <v>24.677492583617873</v>
      </c>
      <c r="D11" s="18" cm="1">
        <f t="array" ref="D11">LOOKUP(2,1/(Geometría!$AB$3:$AB$70=$A11),Geometría!$X$3:$X$70)</f>
        <v>15.841412491987823</v>
      </c>
      <c r="E11" s="18" cm="1">
        <f t="array" ref="E11">LOOKUP(2,1/(Geometría!$AB$3:$AB$70=$A11),Geometría!$Y$3:$Y$70)</f>
        <v>31.880405044285908</v>
      </c>
      <c r="F11" s="21">
        <f>SUMIF(Geometría!$AB$3:$AB$70,$A11,Geometría!$Z$3:$Z$70)</f>
        <v>7.2775254053950107</v>
      </c>
      <c r="G11" s="18">
        <f>INDEX(Geometría!$AA$3:$AA$70,MATCH($A11,Geometría!$AB$3:$AB$70,0))</f>
        <v>0.25</v>
      </c>
      <c r="H11" s="19" t="str">
        <f>IFERROR(IF(SUMIF(Geometría!$AB$3:$AB$70,$A11,Geometría!$AC$3:$AC$70)&gt;9*SUMIF(Geometría!$AB$3:$AB$70,$A11,Geometría!$AD$3:$AD$70),"X",IF(SUMIF(Geometría!$AB$3:$AB$70,$A11,Geometría!$AD$3:$AD$70)&gt;9*SUMIF(Geometría!$AB$3:$AB$70,$A11,Geometría!$AC$3:$AC$70),"Y","Diag "&amp;TEXT(DEGREES(ATAN2(SUMIF(Geometría!$AB$3:$AB$70,$A11,Geometría!$AC$3:$AC$70),SUMIF(Geometría!$AB$3:$AB$70,$A11,Geometría!$AD$3:$AD$70))),"0.0")&amp;"°")),"-")</f>
        <v>Y</v>
      </c>
      <c r="I11" s="17">
        <f>COUNTIF(Geometría!$AB$3:$AB$70,$A11)</f>
        <v>3</v>
      </c>
    </row>
    <row r="12" spans="1:9" x14ac:dyDescent="0.3">
      <c r="A12" t="s">
        <v>39</v>
      </c>
      <c r="B12" s="18">
        <f>INDEX(Geometría!$V$3:$V$70,MATCH($A12,Geometría!$AB$3:$AB$70,0))</f>
        <v>22.249465669551544</v>
      </c>
      <c r="C12" s="18">
        <f>INDEX(Geometría!$W$3:$W$70,MATCH($A12,Geometría!$AB$3:$AB$70,0))</f>
        <v>28.640263028148816</v>
      </c>
      <c r="D12" s="18" cm="1">
        <f t="array" ref="D12">LOOKUP(2,1/(Geometría!$AB$3:$AB$70=$A12),Geometría!$X$3:$X$70)</f>
        <v>17.149511715586407</v>
      </c>
      <c r="E12" s="18" cm="1">
        <f t="array" ref="E12">LOOKUP(2,1/(Geometría!$AB$3:$AB$70=$A12),Geometría!$Y$3:$Y$70)</f>
        <v>28.640263028126462</v>
      </c>
      <c r="F12" s="21">
        <f>SUMIF(Geometría!$AB$3:$AB$70,$A12,Geometría!$Z$3:$Z$70)</f>
        <v>5.0999539539651373</v>
      </c>
      <c r="G12" s="18">
        <f>INDEX(Geometría!$AA$3:$AA$70,MATCH($A12,Geometría!$AB$3:$AB$70,0))</f>
        <v>0.25</v>
      </c>
      <c r="H12" s="19" t="str">
        <f>IFERROR(IF(SUMIF(Geometría!$AB$3:$AB$70,$A12,Geometría!$AC$3:$AC$70)&gt;9*SUMIF(Geometría!$AB$3:$AB$70,$A12,Geometría!$AD$3:$AD$70),"X",IF(SUMIF(Geometría!$AB$3:$AB$70,$A12,Geometría!$AD$3:$AD$70)&gt;9*SUMIF(Geometría!$AB$3:$AB$70,$A12,Geometría!$AC$3:$AC$70),"Y","Diag "&amp;TEXT(DEGREES(ATAN2(SUMIF(Geometría!$AB$3:$AB$70,$A12,Geometría!$AC$3:$AC$70),SUMIF(Geometría!$AB$3:$AB$70,$A12,Geometría!$AD$3:$AD$70))),"0.0")&amp;"°")),"-")</f>
        <v>X</v>
      </c>
      <c r="I12" s="17">
        <f>COUNTIF(Geometría!$AB$3:$AB$70,$A12)</f>
        <v>1</v>
      </c>
    </row>
    <row r="13" spans="1:9" x14ac:dyDescent="0.3">
      <c r="A13" t="s">
        <v>38</v>
      </c>
      <c r="B13" s="18">
        <f>INDEX(Geometría!$V$3:$V$70,MATCH($A13,Geometría!$AB$3:$AB$70,0))</f>
        <v>22.249465669551569</v>
      </c>
      <c r="C13" s="18">
        <f>INDEX(Geometría!$W$3:$W$70,MATCH($A13,Geometría!$AB$3:$AB$70,0))</f>
        <v>27.070457082957994</v>
      </c>
      <c r="D13" s="18" cm="1">
        <f t="array" ref="D13">LOOKUP(2,1/(Geometría!$AB$3:$AB$70=$A13),Geometría!$X$3:$X$70)</f>
        <v>22.249465669551544</v>
      </c>
      <c r="E13" s="18" cm="1">
        <f t="array" ref="E13">LOOKUP(2,1/(Geometría!$AB$3:$AB$70=$A13),Geometría!$Y$3:$Y$70)</f>
        <v>31.980405044260362</v>
      </c>
      <c r="F13" s="21">
        <f>SUMIF(Geometría!$AB$3:$AB$70,$A13,Geometría!$Z$3:$Z$70)</f>
        <v>4.9099479613023682</v>
      </c>
      <c r="G13" s="18">
        <f>INDEX(Geometría!$AA$3:$AA$70,MATCH($A13,Geometría!$AB$3:$AB$70,0))</f>
        <v>0.25</v>
      </c>
      <c r="H13" s="19" t="str">
        <f>IFERROR(IF(SUMIF(Geometría!$AB$3:$AB$70,$A13,Geometría!$AC$3:$AC$70)&gt;9*SUMIF(Geometría!$AB$3:$AB$70,$A13,Geometría!$AD$3:$AD$70),"X",IF(SUMIF(Geometría!$AB$3:$AB$70,$A13,Geometría!$AD$3:$AD$70)&gt;9*SUMIF(Geometría!$AB$3:$AB$70,$A13,Geometría!$AC$3:$AC$70),"Y","Diag "&amp;TEXT(DEGREES(ATAN2(SUMIF(Geometría!$AB$3:$AB$70,$A13,Geometría!$AC$3:$AC$70),SUMIF(Geometría!$AB$3:$AB$70,$A13,Geometría!$AD$3:$AD$70))),"0.0")&amp;"°")),"-")</f>
        <v>Y</v>
      </c>
      <c r="I13" s="17">
        <f>COUNTIF(Geometría!$AB$3:$AB$70,$A13)</f>
        <v>2</v>
      </c>
    </row>
    <row r="14" spans="1:9" x14ac:dyDescent="0.3">
      <c r="A14" t="s">
        <v>41</v>
      </c>
      <c r="B14" s="18">
        <f>INDEX(Geometría!$V$3:$V$70,MATCH($A14,Geometría!$AB$3:$AB$70,0))</f>
        <v>9.8913280130736752</v>
      </c>
      <c r="C14" s="18">
        <f>INDEX(Geometría!$W$3:$W$70,MATCH($A14,Geometría!$AB$3:$AB$70,0))</f>
        <v>25.524830996437583</v>
      </c>
      <c r="D14" s="18" cm="1">
        <f t="array" ref="D14">LOOKUP(2,1/(Geometría!$AB$3:$AB$70=$A14),Geometría!$X$3:$X$70)</f>
        <v>12.412503066628062</v>
      </c>
      <c r="E14" s="18" cm="1">
        <f t="array" ref="E14">LOOKUP(2,1/(Geometría!$AB$3:$AB$70=$A14),Geometría!$Y$3:$Y$70)</f>
        <v>25.524830996425898</v>
      </c>
      <c r="F14" s="21">
        <f>SUMIF(Geometría!$AB$3:$AB$70,$A14,Geometría!$Z$3:$Z$70)</f>
        <v>2.5211750535543871</v>
      </c>
      <c r="G14" s="18">
        <f>INDEX(Geometría!$AA$3:$AA$70,MATCH($A14,Geometría!$AB$3:$AB$70,0))</f>
        <v>0.25</v>
      </c>
      <c r="H14" s="19" t="str">
        <f>IFERROR(IF(SUMIF(Geometría!$AB$3:$AB$70,$A14,Geometría!$AC$3:$AC$70)&gt;9*SUMIF(Geometría!$AB$3:$AB$70,$A14,Geometría!$AD$3:$AD$70),"X",IF(SUMIF(Geometría!$AB$3:$AB$70,$A14,Geometría!$AD$3:$AD$70)&gt;9*SUMIF(Geometría!$AB$3:$AB$70,$A14,Geometría!$AC$3:$AC$70),"Y","Diag "&amp;TEXT(DEGREES(ATAN2(SUMIF(Geometría!$AB$3:$AB$70,$A14,Geometría!$AC$3:$AC$70),SUMIF(Geometría!$AB$3:$AB$70,$A14,Geometría!$AD$3:$AD$70))),"0.0")&amp;"°")),"-")</f>
        <v>X</v>
      </c>
      <c r="I14" s="17">
        <f>COUNTIF(Geometría!$AB$3:$AB$70,$A14)</f>
        <v>1</v>
      </c>
    </row>
    <row r="15" spans="1:9" x14ac:dyDescent="0.3">
      <c r="A15" t="s">
        <v>42</v>
      </c>
      <c r="B15" s="18">
        <f>INDEX(Geometría!$V$3:$V$70,MATCH($A15,Geometría!$AB$3:$AB$70,0))</f>
        <v>15.091328013069969</v>
      </c>
      <c r="C15" s="18">
        <f>INDEX(Geometría!$W$3:$W$70,MATCH($A15,Geometría!$AB$3:$AB$70,0))</f>
        <v>22.910457082669478</v>
      </c>
      <c r="D15" s="18" cm="1">
        <f t="array" ref="D15">LOOKUP(2,1/(Geometría!$AB$3:$AB$70=$A15),Geometría!$X$3:$X$70)</f>
        <v>9.8913280130834789</v>
      </c>
      <c r="E15" s="18" cm="1">
        <f t="array" ref="E15">LOOKUP(2,1/(Geometría!$AB$3:$AB$70=$A15),Geometría!$Y$3:$Y$70)</f>
        <v>22.910457082669325</v>
      </c>
      <c r="F15" s="21">
        <f>SUMIF(Geometría!$AB$3:$AB$70,$A15,Geometría!$Z$3:$Z$70)</f>
        <v>5.1999999999864901</v>
      </c>
      <c r="G15" s="18">
        <f>INDEX(Geometría!$AA$3:$AA$70,MATCH($A15,Geometría!$AB$3:$AB$70,0))</f>
        <v>0.25</v>
      </c>
      <c r="H15" s="19" t="str">
        <f>IFERROR(IF(SUMIF(Geometría!$AB$3:$AB$70,$A15,Geometría!$AC$3:$AC$70)&gt;9*SUMIF(Geometría!$AB$3:$AB$70,$A15,Geometría!$AD$3:$AD$70),"X",IF(SUMIF(Geometría!$AB$3:$AB$70,$A15,Geometría!$AD$3:$AD$70)&gt;9*SUMIF(Geometría!$AB$3:$AB$70,$A15,Geometría!$AC$3:$AC$70),"Y","Diag "&amp;TEXT(DEGREES(ATAN2(SUMIF(Geometría!$AB$3:$AB$70,$A15,Geometría!$AC$3:$AC$70),SUMIF(Geometría!$AB$3:$AB$70,$A15,Geometría!$AD$3:$AD$70))),"0.0")&amp;"°")),"-")</f>
        <v>X</v>
      </c>
      <c r="I15" s="17">
        <f>COUNTIF(Geometría!$AB$3:$AB$70,$A15)</f>
        <v>1</v>
      </c>
    </row>
    <row r="16" spans="1:9" x14ac:dyDescent="0.3">
      <c r="A16" t="s">
        <v>43</v>
      </c>
      <c r="B16" s="18">
        <f>INDEX(Geometría!$V$3:$V$70,MATCH($A16,Geometría!$AB$3:$AB$70,0))</f>
        <v>15.091328013074412</v>
      </c>
      <c r="C16" s="18">
        <f>INDEX(Geometría!$W$3:$W$70,MATCH($A16,Geometría!$AB$3:$AB$70,0))</f>
        <v>23.780457082419645</v>
      </c>
      <c r="D16" s="18" cm="1">
        <f t="array" ref="D16">LOOKUP(2,1/(Geometría!$AB$3:$AB$70=$A16),Geometría!$X$3:$X$70)</f>
        <v>15.091328013074412</v>
      </c>
      <c r="E16" s="18" cm="1">
        <f t="array" ref="E16">LOOKUP(2,1/(Geometría!$AB$3:$AB$70=$A16),Geometría!$Y$3:$Y$70)</f>
        <v>21.380457082671612</v>
      </c>
      <c r="F16" s="21">
        <f>SUMIF(Geometría!$AB$3:$AB$70,$A16,Geometría!$Z$3:$Z$70)</f>
        <v>2.399999999748033</v>
      </c>
      <c r="G16" s="18">
        <f>INDEX(Geometría!$AA$3:$AA$70,MATCH($A16,Geometría!$AB$3:$AB$70,0))</f>
        <v>0.25</v>
      </c>
      <c r="H16" s="19" t="str">
        <f>IFERROR(IF(SUMIF(Geometría!$AB$3:$AB$70,$A16,Geometría!$AC$3:$AC$70)&gt;9*SUMIF(Geometría!$AB$3:$AB$70,$A16,Geometría!$AD$3:$AD$70),"X",IF(SUMIF(Geometría!$AB$3:$AB$70,$A16,Geometría!$AD$3:$AD$70)&gt;9*SUMIF(Geometría!$AB$3:$AB$70,$A16,Geometría!$AC$3:$AC$70),"Y","Diag "&amp;TEXT(DEGREES(ATAN2(SUMIF(Geometría!$AB$3:$AB$70,$A16,Geometría!$AC$3:$AC$70),SUMIF(Geometría!$AB$3:$AB$70,$A16,Geometría!$AD$3:$AD$70))),"0.0")&amp;"°")),"-")</f>
        <v>Y</v>
      </c>
      <c r="I16" s="17">
        <f>COUNTIF(Geometría!$AB$3:$AB$70,$A16)</f>
        <v>1</v>
      </c>
    </row>
    <row r="17" spans="1:9" x14ac:dyDescent="0.3">
      <c r="A17" t="s">
        <v>44</v>
      </c>
      <c r="B17" s="18">
        <f>INDEX(Geometría!$V$3:$V$70,MATCH($A17,Geometría!$AB$3:$AB$70,0))</f>
        <v>17.049511715456351</v>
      </c>
      <c r="C17" s="18">
        <f>INDEX(Geometría!$W$3:$W$70,MATCH($A17,Geometría!$AB$3:$AB$70,0))</f>
        <v>23.230457082545946</v>
      </c>
      <c r="D17" s="18" cm="1">
        <f t="array" ref="D17">LOOKUP(2,1/(Geometría!$AB$3:$AB$70=$A17),Geometría!$X$3:$X$70)</f>
        <v>22.249465669553171</v>
      </c>
      <c r="E17" s="18" cm="1">
        <f t="array" ref="E17">LOOKUP(2,1/(Geometría!$AB$3:$AB$70=$A17),Geometría!$Y$3:$Y$70)</f>
        <v>23.230457082545946</v>
      </c>
      <c r="F17" s="21">
        <f>SUMIF(Geometría!$AB$3:$AB$70,$A17,Geometría!$Z$3:$Z$70)</f>
        <v>5.5581376564813496</v>
      </c>
      <c r="G17" s="18">
        <f>INDEX(Geometría!$AA$3:$AA$70,MATCH($A17,Geometría!$AB$3:$AB$70,0))</f>
        <v>0.25</v>
      </c>
      <c r="H17" s="19" t="str">
        <f>IFERROR(IF(SUMIF(Geometría!$AB$3:$AB$70,$A17,Geometría!$AC$3:$AC$70)&gt;9*SUMIF(Geometría!$AB$3:$AB$70,$A17,Geometría!$AD$3:$AD$70),"X",IF(SUMIF(Geometría!$AB$3:$AB$70,$A17,Geometría!$AD$3:$AD$70)&gt;9*SUMIF(Geometría!$AB$3:$AB$70,$A17,Geometría!$AC$3:$AC$70),"Y","Diag "&amp;TEXT(DEGREES(ATAN2(SUMIF(Geometría!$AB$3:$AB$70,$A17,Geometría!$AC$3:$AC$70),SUMIF(Geometría!$AB$3:$AB$70,$A17,Geometría!$AD$3:$AD$70))),"0.0")&amp;"°")),"-")</f>
        <v>X</v>
      </c>
      <c r="I17" s="17">
        <f>COUNTIF(Geometría!$AB$3:$AB$70,$A17)</f>
        <v>2</v>
      </c>
    </row>
    <row r="18" spans="1:9" x14ac:dyDescent="0.3">
      <c r="A18" t="s">
        <v>45</v>
      </c>
      <c r="B18" s="18">
        <f>INDEX(Geometría!$V$3:$V$70,MATCH($A18,Geometría!$AB$3:$AB$70,0))</f>
        <v>17.049511715452237</v>
      </c>
      <c r="C18" s="18">
        <f>INDEX(Geometría!$W$3:$W$70,MATCH($A18,Geometría!$AB$3:$AB$70,0))</f>
        <v>20.509968369365854</v>
      </c>
      <c r="D18" s="18" cm="1">
        <f t="array" ref="D18">LOOKUP(2,1/(Geometría!$AB$3:$AB$70=$A18),Geometría!$X$3:$X$70)</f>
        <v>16.69132801319839</v>
      </c>
      <c r="E18" s="18" cm="1">
        <f t="array" ref="E18">LOOKUP(2,1/(Geometría!$AB$3:$AB$70=$A18),Geometría!$Y$3:$Y$70)</f>
        <v>23.779968369311497</v>
      </c>
      <c r="F18" s="21">
        <f>SUMIF(Geometría!$AB$3:$AB$70,$A18,Geometría!$Z$3:$Z$70)</f>
        <v>3.2699999999456431</v>
      </c>
      <c r="G18" s="18">
        <f>INDEX(Geometría!$AA$3:$AA$70,MATCH($A18,Geometría!$AB$3:$AB$70,0))</f>
        <v>0.25</v>
      </c>
      <c r="H18" s="19" t="str">
        <f>IFERROR(IF(SUMIF(Geometría!$AB$3:$AB$70,$A18,Geometría!$AC$3:$AC$70)&gt;9*SUMIF(Geometría!$AB$3:$AB$70,$A18,Geometría!$AD$3:$AD$70),"X",IF(SUMIF(Geometría!$AB$3:$AB$70,$A18,Geometría!$AD$3:$AD$70)&gt;9*SUMIF(Geometría!$AB$3:$AB$70,$A18,Geometría!$AC$3:$AC$70),"Y","Diag "&amp;TEXT(DEGREES(ATAN2(SUMIF(Geometría!$AB$3:$AB$70,$A18,Geometría!$AC$3:$AC$70),SUMIF(Geometría!$AB$3:$AB$70,$A18,Geometría!$AD$3:$AD$70))),"0.0")&amp;"°")),"-")</f>
        <v>Y</v>
      </c>
      <c r="I18" s="17">
        <f>COUNTIF(Geometría!$AB$3:$AB$70,$A18)</f>
        <v>2</v>
      </c>
    </row>
    <row r="19" spans="1:9" x14ac:dyDescent="0.3">
      <c r="A19" t="s">
        <v>49</v>
      </c>
      <c r="B19" s="18">
        <f>INDEX(Geometría!$V$3:$V$70,MATCH($A19,Geometría!$AB$3:$AB$70,0))</f>
        <v>15.091328013071365</v>
      </c>
      <c r="C19" s="18">
        <f>INDEX(Geometría!$W$3:$W$70,MATCH($A19,Geometría!$AB$3:$AB$70,0))</f>
        <v>17.710457082661144</v>
      </c>
      <c r="D19" s="18" cm="1">
        <f t="array" ref="D19">LOOKUP(2,1/(Geometría!$AB$3:$AB$70=$A19),Geometría!$X$3:$X$70)</f>
        <v>9.89132801306293</v>
      </c>
      <c r="E19" s="18" cm="1">
        <f t="array" ref="E19">LOOKUP(2,1/(Geometría!$AB$3:$AB$70=$A19),Geometría!$Y$3:$Y$70)</f>
        <v>17.710457082661144</v>
      </c>
      <c r="F19" s="21">
        <f>SUMIF(Geometría!$AB$3:$AB$70,$A19,Geometría!$Z$3:$Z$70)</f>
        <v>5.2000000000084352</v>
      </c>
      <c r="G19" s="18">
        <f>INDEX(Geometría!$AA$3:$AA$70,MATCH($A19,Geometría!$AB$3:$AB$70,0))</f>
        <v>0.25</v>
      </c>
      <c r="H19" s="19" t="str">
        <f>IFERROR(IF(SUMIF(Geometría!$AB$3:$AB$70,$A19,Geometría!$AC$3:$AC$70)&gt;9*SUMIF(Geometría!$AB$3:$AB$70,$A19,Geometría!$AD$3:$AD$70),"X",IF(SUMIF(Geometría!$AB$3:$AB$70,$A19,Geometría!$AD$3:$AD$70)&gt;9*SUMIF(Geometría!$AB$3:$AB$70,$A19,Geometría!$AC$3:$AC$70),"Y","Diag "&amp;TEXT(DEGREES(ATAN2(SUMIF(Geometría!$AB$3:$AB$70,$A19,Geometría!$AC$3:$AC$70),SUMIF(Geometría!$AB$3:$AB$70,$A19,Geometría!$AD$3:$AD$70))),"0.0")&amp;"°")),"-")</f>
        <v>X</v>
      </c>
      <c r="I19" s="17">
        <f>COUNTIF(Geometría!$AB$3:$AB$70,$A19)</f>
        <v>1</v>
      </c>
    </row>
    <row r="20" spans="1:9" x14ac:dyDescent="0.3">
      <c r="A20" t="s">
        <v>46</v>
      </c>
      <c r="B20" s="18">
        <f>INDEX(Geometría!$V$3:$V$70,MATCH($A20,Geometría!$AB$3:$AB$70,0))</f>
        <v>18.826328012399987</v>
      </c>
      <c r="C20" s="18">
        <f>INDEX(Geometría!$W$3:$W$70,MATCH($A20,Geometría!$AB$3:$AB$70,0))</f>
        <v>19.46045708254109</v>
      </c>
      <c r="D20" s="18" cm="1">
        <f t="array" ref="D20">LOOKUP(2,1/(Geometría!$AB$3:$AB$70=$A20),Geometría!$X$3:$X$70)</f>
        <v>21.938960628870412</v>
      </c>
      <c r="E20" s="18" cm="1">
        <f t="array" ref="E20">LOOKUP(2,1/(Geometría!$AB$3:$AB$70=$A20),Geometría!$Y$3:$Y$70)</f>
        <v>19.46045708254109</v>
      </c>
      <c r="F20" s="21">
        <f>SUMIF(Geometría!$AB$3:$AB$70,$A20,Geometría!$Z$3:$Z$70)</f>
        <v>5.3476326156729428</v>
      </c>
      <c r="G20" s="18">
        <f>INDEX(Geometría!$AA$3:$AA$70,MATCH($A20,Geometría!$AB$3:$AB$70,0))</f>
        <v>0.25</v>
      </c>
      <c r="H20" s="19" t="str">
        <f>IFERROR(IF(SUMIF(Geometría!$AB$3:$AB$70,$A20,Geometría!$AC$3:$AC$70)&gt;9*SUMIF(Geometría!$AB$3:$AB$70,$A20,Geometría!$AD$3:$AD$70),"X",IF(SUMIF(Geometría!$AB$3:$AB$70,$A20,Geometría!$AD$3:$AD$70)&gt;9*SUMIF(Geometría!$AB$3:$AB$70,$A20,Geometría!$AC$3:$AC$70),"Y","Diag "&amp;TEXT(DEGREES(ATAN2(SUMIF(Geometría!$AB$3:$AB$70,$A20,Geometría!$AC$3:$AC$70),SUMIF(Geometría!$AB$3:$AB$70,$A20,Geometría!$AD$3:$AD$70))),"0.0")&amp;"°")),"-")</f>
        <v>X</v>
      </c>
      <c r="I20" s="17">
        <f>COUNTIF(Geometría!$AB$3:$AB$70,$A20)</f>
        <v>2</v>
      </c>
    </row>
    <row r="21" spans="1:9" x14ac:dyDescent="0.3">
      <c r="A21" t="s">
        <v>47</v>
      </c>
      <c r="B21" s="18">
        <f>INDEX(Geometría!$V$3:$V$70,MATCH($A21,Geometría!$AB$3:$AB$70,0))</f>
        <v>16.591328013197419</v>
      </c>
      <c r="C21" s="18">
        <f>INDEX(Geometría!$W$3:$W$70,MATCH($A21,Geometría!$AB$3:$AB$70,0))</f>
        <v>15.760457082535009</v>
      </c>
      <c r="D21" s="18" cm="1">
        <f t="array" ref="D21">LOOKUP(2,1/(Geometría!$AB$3:$AB$70=$A21),Geometría!$X$3:$X$70)</f>
        <v>21.938626350821771</v>
      </c>
      <c r="E21" s="18" cm="1">
        <f t="array" ref="E21">LOOKUP(2,1/(Geometría!$AB$3:$AB$70=$A21),Geometría!$Y$3:$Y$70)</f>
        <v>15.760457082540698</v>
      </c>
      <c r="F21" s="21">
        <f>SUMIF(Geometría!$AB$3:$AB$70,$A21,Geometría!$Z$3:$Z$70)</f>
        <v>5.3472983376243519</v>
      </c>
      <c r="G21" s="18">
        <f>INDEX(Geometría!$AA$3:$AA$70,MATCH($A21,Geometría!$AB$3:$AB$70,0))</f>
        <v>0.25</v>
      </c>
      <c r="H21" s="19" t="str">
        <f>IFERROR(IF(SUMIF(Geometría!$AB$3:$AB$70,$A21,Geometría!$AC$3:$AC$70)&gt;9*SUMIF(Geometría!$AB$3:$AB$70,$A21,Geometría!$AD$3:$AD$70),"X",IF(SUMIF(Geometría!$AB$3:$AB$70,$A21,Geometría!$AD$3:$AD$70)&gt;9*SUMIF(Geometría!$AB$3:$AB$70,$A21,Geometría!$AC$3:$AC$70),"Y","Diag "&amp;TEXT(DEGREES(ATAN2(SUMIF(Geometría!$AB$3:$AB$70,$A21,Geometría!$AC$3:$AC$70),SUMIF(Geometría!$AB$3:$AB$70,$A21,Geometría!$AD$3:$AD$70))),"0.0")&amp;"°")),"-")</f>
        <v>X</v>
      </c>
      <c r="I21" s="17">
        <f>COUNTIF(Geometría!$AB$3:$AB$70,$A21)</f>
        <v>1</v>
      </c>
    </row>
    <row r="22" spans="1:9" x14ac:dyDescent="0.3">
      <c r="A22" t="s">
        <v>48</v>
      </c>
      <c r="B22" s="18">
        <f>INDEX(Geometría!$V$3:$V$70,MATCH($A22,Geometría!$AB$3:$AB$70,0))</f>
        <v>18.826328012401053</v>
      </c>
      <c r="C22" s="18">
        <f>INDEX(Geometría!$W$3:$W$70,MATCH($A22,Geometría!$AB$3:$AB$70,0))</f>
        <v>15.760457082540624</v>
      </c>
      <c r="D22" s="18" cm="1">
        <f t="array" ref="D22">LOOKUP(2,1/(Geometría!$AB$3:$AB$70=$A22),Geometría!$X$3:$X$70)</f>
        <v>18.826328012399987</v>
      </c>
      <c r="E22" s="18" cm="1">
        <f t="array" ref="E22">LOOKUP(2,1/(Geometría!$AB$3:$AB$70=$A22),Geometría!$Y$3:$Y$70)</f>
        <v>19.46045708254109</v>
      </c>
      <c r="F22" s="21">
        <f>SUMIF(Geometría!$AB$3:$AB$70,$A22,Geometría!$Z$3:$Z$70)</f>
        <v>3.7000000000004665</v>
      </c>
      <c r="G22" s="18">
        <f>INDEX(Geometría!$AA$3:$AA$70,MATCH($A22,Geometría!$AB$3:$AB$70,0))</f>
        <v>0.25</v>
      </c>
      <c r="H22" s="19" t="str">
        <f>IFERROR(IF(SUMIF(Geometría!$AB$3:$AB$70,$A22,Geometría!$AC$3:$AC$70)&gt;9*SUMIF(Geometría!$AB$3:$AB$70,$A22,Geometría!$AD$3:$AD$70),"X",IF(SUMIF(Geometría!$AB$3:$AB$70,$A22,Geometría!$AD$3:$AD$70)&gt;9*SUMIF(Geometría!$AB$3:$AB$70,$A22,Geometría!$AC$3:$AC$70),"Y","Diag "&amp;TEXT(DEGREES(ATAN2(SUMIF(Geometría!$AB$3:$AB$70,$A22,Geometría!$AC$3:$AC$70),SUMIF(Geometría!$AB$3:$AB$70,$A22,Geometría!$AD$3:$AD$70))),"0.0")&amp;"°")),"-")</f>
        <v>Y</v>
      </c>
      <c r="I22" s="17">
        <f>COUNTIF(Geometría!$AB$3:$AB$70,$A22)</f>
        <v>1</v>
      </c>
    </row>
    <row r="23" spans="1:9" x14ac:dyDescent="0.3">
      <c r="A23" t="s">
        <v>52</v>
      </c>
      <c r="B23" s="18">
        <f>INDEX(Geometría!$V$3:$V$70,MATCH($A23,Geometría!$AB$3:$AB$70,0))</f>
        <v>21.938373383657705</v>
      </c>
      <c r="C23" s="18">
        <f>INDEX(Geometría!$W$3:$W$70,MATCH($A23,Geometría!$AB$3:$AB$70,0))</f>
        <v>12.960457082536076</v>
      </c>
      <c r="D23" s="18" cm="1">
        <f t="array" ref="D23">LOOKUP(2,1/(Geometría!$AB$3:$AB$70=$A23),Geometría!$X$3:$X$70)</f>
        <v>21.938754641324348</v>
      </c>
      <c r="E23" s="18" cm="1">
        <f t="array" ref="E23">LOOKUP(2,1/(Geometría!$AB$3:$AB$70=$A23),Geometría!$Y$3:$Y$70)</f>
        <v>17.180457082355087</v>
      </c>
      <c r="F23" s="21">
        <f>SUMIF(Geometría!$AB$3:$AB$70,$A23,Geometría!$Z$3:$Z$70)</f>
        <v>4.2200000170414524</v>
      </c>
      <c r="G23" s="18">
        <f>INDEX(Geometría!$AA$3:$AA$70,MATCH($A23,Geometría!$AB$3:$AB$70,0))</f>
        <v>0.25</v>
      </c>
      <c r="H23" s="19" t="str">
        <f>IFERROR(IF(SUMIF(Geometría!$AB$3:$AB$70,$A23,Geometría!$AC$3:$AC$70)&gt;9*SUMIF(Geometría!$AB$3:$AB$70,$A23,Geometría!$AD$3:$AD$70),"X",IF(SUMIF(Geometría!$AB$3:$AB$70,$A23,Geometría!$AD$3:$AD$70)&gt;9*SUMIF(Geometría!$AB$3:$AB$70,$A23,Geometría!$AC$3:$AC$70),"Y","Diag "&amp;TEXT(DEGREES(ATAN2(SUMIF(Geometría!$AB$3:$AB$70,$A23,Geometría!$AC$3:$AC$70),SUMIF(Geometría!$AB$3:$AB$70,$A23,Geometría!$AD$3:$AD$70))),"0.0")&amp;"°")),"-")</f>
        <v>Y</v>
      </c>
      <c r="I23" s="17">
        <f>COUNTIF(Geometría!$AB$3:$AB$70,$A23)</f>
        <v>1</v>
      </c>
    </row>
    <row r="24" spans="1:9" x14ac:dyDescent="0.3">
      <c r="A24" t="s">
        <v>96</v>
      </c>
      <c r="B24" s="18">
        <f>INDEX(Geometría!$V$3:$V$70,MATCH($A24,Geometría!$AB$3:$AB$70,0))</f>
        <v>15.091328013074412</v>
      </c>
      <c r="C24" s="18">
        <f>INDEX(Geometría!$W$3:$W$70,MATCH($A24,Geometría!$AB$3:$AB$70,0))</f>
        <v>20.430457082681887</v>
      </c>
      <c r="D24" s="18" cm="1">
        <f t="array" ref="D24">LOOKUP(2,1/(Geometría!$AB$3:$AB$70=$A24),Geometría!$X$3:$X$70)</f>
        <v>15.091328013074412</v>
      </c>
      <c r="E24" s="18" cm="1">
        <f t="array" ref="E24">LOOKUP(2,1/(Geometría!$AB$3:$AB$70=$A24),Geometría!$Y$3:$Y$70)</f>
        <v>14.990457082644109</v>
      </c>
      <c r="F24" s="21">
        <f>SUMIF(Geometría!$AB$3:$AB$70,$A24,Geometría!$Z$3:$Z$70)</f>
        <v>5.4400000000377773</v>
      </c>
      <c r="G24" s="18">
        <f>INDEX(Geometría!$AA$3:$AA$70,MATCH($A24,Geometría!$AB$3:$AB$70,0))</f>
        <v>0.25</v>
      </c>
      <c r="H24" s="19" t="str">
        <f>IFERROR(IF(SUMIF(Geometría!$AB$3:$AB$70,$A24,Geometría!$AC$3:$AC$70)&gt;9*SUMIF(Geometría!$AB$3:$AB$70,$A24,Geometría!$AD$3:$AD$70),"X",IF(SUMIF(Geometría!$AB$3:$AB$70,$A24,Geometría!$AD$3:$AD$70)&gt;9*SUMIF(Geometría!$AB$3:$AB$70,$A24,Geometría!$AC$3:$AC$70),"Y","Diag "&amp;TEXT(DEGREES(ATAN2(SUMIF(Geometría!$AB$3:$AB$70,$A24,Geometría!$AC$3:$AC$70),SUMIF(Geometría!$AB$3:$AB$70,$A24,Geometría!$AD$3:$AD$70))),"0.0")&amp;"°")),"-")</f>
        <v>Y</v>
      </c>
      <c r="I24" s="17">
        <f>COUNTIF(Geometría!$AB$3:$AB$70,$A24)</f>
        <v>1</v>
      </c>
    </row>
    <row r="26" spans="1:9" ht="18" x14ac:dyDescent="0.35">
      <c r="A26" s="22" t="s">
        <v>126</v>
      </c>
    </row>
    <row r="28" spans="1:9" ht="15" thickBot="1" x14ac:dyDescent="0.35">
      <c r="A28" s="29" t="s">
        <v>127</v>
      </c>
      <c r="B28" s="29" t="s">
        <v>89</v>
      </c>
      <c r="C28" s="29" t="s">
        <v>90</v>
      </c>
      <c r="D28" s="29" t="s">
        <v>128</v>
      </c>
      <c r="E28" s="29" t="s">
        <v>129</v>
      </c>
      <c r="F28" s="29" t="s">
        <v>130</v>
      </c>
      <c r="G28" s="29" t="s">
        <v>62</v>
      </c>
    </row>
    <row r="29" spans="1:9" x14ac:dyDescent="0.3">
      <c r="A29" s="30" t="s">
        <v>23</v>
      </c>
      <c r="B29" s="31">
        <f>INDEX(Geometría!$D$72:$D$90,MATCH($A29,Geometría!$B$72:$B$90,0))*0.0254</f>
        <v>9.8913280130736752</v>
      </c>
      <c r="C29" s="31">
        <f>INDEX(Geometría!$E$72:$E$90,MATCH($A29,Geometría!$B$72:$B$90,0))*0.0254</f>
        <v>47.708877208304173</v>
      </c>
      <c r="D29" s="31">
        <f>INDEX(Geometría!$F$72:$F$90,MATCH($A29,Geometría!$B$72:$B$90,0))*0.0254</f>
        <v>2.5999999999999885</v>
      </c>
      <c r="E29" s="31">
        <f>IFERROR(VALUE(MID($G29,2,FIND("x",$G29)-2))/100,"")</f>
        <v>0.3</v>
      </c>
      <c r="F29" s="31">
        <f>IFERROR(VALUE(TRIM(MID($G29,FIND("x",$G29)+1,FIND(" ",$G29)-FIND("x",$G29)-1)))/100,"")</f>
        <v>0.5</v>
      </c>
      <c r="G29" s="32" t="str">
        <f>INDEX(Geometría!$C$72:$C$90,MATCH($A29,Geometría!$B$72:$B$90,0))</f>
        <v>C30x50 G35</v>
      </c>
    </row>
    <row r="30" spans="1:9" x14ac:dyDescent="0.3">
      <c r="A30" s="28" t="s">
        <v>25</v>
      </c>
      <c r="B30" s="18">
        <f>INDEX(Geometría!$D$72:$D$90,MATCH($A30,Geometría!$B$72:$B$90,0))*0.0254</f>
        <v>9.8913280130736752</v>
      </c>
      <c r="C30" s="18">
        <f>INDEX(Geometría!$E$72:$E$90,MATCH($A30,Geometría!$B$72:$B$90,0))*0.0254</f>
        <v>42.108877208292796</v>
      </c>
      <c r="D30" s="18">
        <f>INDEX(Geometría!$F$72:$F$90,MATCH($A30,Geometría!$B$72:$B$90,0))*0.0254</f>
        <v>2.5999999999999885</v>
      </c>
      <c r="E30" s="18">
        <f t="shared" ref="E30:E37" si="0">IFERROR(VALUE(MID($G30,2,FIND("x",$G30)-2))/100,"")</f>
        <v>0.3</v>
      </c>
      <c r="F30" s="18">
        <f t="shared" ref="F30:F37" si="1">IFERROR(VALUE(TRIM(MID($G30,FIND("x",$G30)+1,FIND(" ",$G30)-FIND("x",$G30)-1)))/100,"")</f>
        <v>0.5</v>
      </c>
      <c r="G30" s="17" t="str">
        <f>INDEX(Geometría!$C$72:$C$90,MATCH($A30,Geometría!$B$72:$B$90,0))</f>
        <v>C30x50 G35</v>
      </c>
    </row>
    <row r="31" spans="1:9" x14ac:dyDescent="0.3">
      <c r="A31" s="28" t="s">
        <v>26</v>
      </c>
      <c r="B31" s="18">
        <f>INDEX(Geometría!$D$72:$D$90,MATCH($A31,Geometría!$B$72:$B$90,0))*0.0254</f>
        <v>9.89132801306293</v>
      </c>
      <c r="C31" s="18">
        <f>INDEX(Geometría!$E$72:$E$90,MATCH($A31,Geometría!$B$72:$B$90,0))*0.0254</f>
        <v>37.108877208301109</v>
      </c>
      <c r="D31" s="18">
        <f>INDEX(Geometría!$F$72:$F$90,MATCH($A31,Geometría!$B$72:$B$90,0))*0.0254</f>
        <v>2.5999999999999885</v>
      </c>
      <c r="E31" s="18">
        <f t="shared" si="0"/>
        <v>0.3</v>
      </c>
      <c r="F31" s="18">
        <f t="shared" si="1"/>
        <v>0.5</v>
      </c>
      <c r="G31" s="17" t="str">
        <f>INDEX(Geometría!$C$72:$C$90,MATCH($A31,Geometría!$B$72:$B$90,0))</f>
        <v>C30x50 G35</v>
      </c>
    </row>
    <row r="32" spans="1:9" x14ac:dyDescent="0.3">
      <c r="A32" s="28" t="s">
        <v>31</v>
      </c>
      <c r="B32" s="18">
        <f>INDEX(Geometría!$D$72:$D$90,MATCH($A32,Geometría!$B$72:$B$90,0))*0.0254</f>
        <v>15.841412491979163</v>
      </c>
      <c r="C32" s="18">
        <f>INDEX(Geometría!$E$72:$E$90,MATCH($A32,Geometría!$B$72:$B$90,0))*0.0254</f>
        <v>47.708877208321958</v>
      </c>
      <c r="D32" s="18">
        <f>INDEX(Geometría!$F$72:$F$90,MATCH($A32,Geometría!$B$72:$B$90,0))*0.0254</f>
        <v>2.5999999999999885</v>
      </c>
      <c r="E32" s="18">
        <f t="shared" si="0"/>
        <v>0.3</v>
      </c>
      <c r="F32" s="18">
        <f t="shared" si="1"/>
        <v>0.5</v>
      </c>
      <c r="G32" s="17" t="str">
        <f>INDEX(Geometría!$C$72:$C$90,MATCH($A32,Geometría!$B$72:$B$90,0))</f>
        <v>C30x50 G35</v>
      </c>
    </row>
    <row r="33" spans="1:7" x14ac:dyDescent="0.3">
      <c r="A33" s="28" t="s">
        <v>28</v>
      </c>
      <c r="B33" s="18">
        <f>INDEX(Geometría!$D$72:$D$90,MATCH($A33,Geometría!$B$72:$B$90,0))*0.0254</f>
        <v>15.841412491979138</v>
      </c>
      <c r="C33" s="18">
        <f>INDEX(Geometría!$E$72:$E$90,MATCH($A33,Geometría!$B$72:$B$90,0))*0.0254</f>
        <v>42.108877208301173</v>
      </c>
      <c r="D33" s="18">
        <f>INDEX(Geometría!$F$72:$F$90,MATCH($A33,Geometría!$B$72:$B$90,0))*0.0254</f>
        <v>2.5999999999999885</v>
      </c>
      <c r="E33" s="18">
        <f t="shared" si="0"/>
        <v>0.3</v>
      </c>
      <c r="F33" s="18">
        <f t="shared" si="1"/>
        <v>0.5</v>
      </c>
      <c r="G33" s="17" t="str">
        <f>INDEX(Geometría!$C$72:$C$90,MATCH($A33,Geometría!$B$72:$B$90,0))</f>
        <v>C30x50 G35</v>
      </c>
    </row>
    <row r="34" spans="1:7" x14ac:dyDescent="0.3">
      <c r="A34" s="28" t="s">
        <v>29</v>
      </c>
      <c r="B34" s="18">
        <f>INDEX(Geometría!$D$72:$D$90,MATCH($A34,Geometría!$B$72:$B$90,0))*0.0254</f>
        <v>15.841412491972635</v>
      </c>
      <c r="C34" s="18">
        <f>INDEX(Geometría!$E$72:$E$90,MATCH($A34,Geometría!$B$72:$B$90,0))*0.0254</f>
        <v>37.108877208301365</v>
      </c>
      <c r="D34" s="18">
        <f>INDEX(Geometría!$F$72:$F$90,MATCH($A34,Geometría!$B$72:$B$90,0))*0.0254</f>
        <v>2.5999999999999885</v>
      </c>
      <c r="E34" s="18">
        <f t="shared" si="0"/>
        <v>0.3</v>
      </c>
      <c r="F34" s="18">
        <f t="shared" si="1"/>
        <v>0.5</v>
      </c>
      <c r="G34" s="17" t="str">
        <f>INDEX(Geometría!$C$72:$C$90,MATCH($A34,Geometría!$B$72:$B$90,0))</f>
        <v>C30x50 G35</v>
      </c>
    </row>
    <row r="35" spans="1:7" x14ac:dyDescent="0.3">
      <c r="A35" s="28" t="s">
        <v>107</v>
      </c>
      <c r="B35" s="18">
        <f>INDEX(Geometría!$D$72:$D$90,MATCH($A35,Geometría!$B$72:$B$90,0))*0.0254</f>
        <v>22.249465669551466</v>
      </c>
      <c r="C35" s="18">
        <f>INDEX(Geometría!$E$72:$E$90,MATCH($A35,Geometría!$B$72:$B$90,0))*0.0254</f>
        <v>47.708877208306717</v>
      </c>
      <c r="D35" s="18">
        <f>INDEX(Geometría!$F$72:$F$90,MATCH($A35,Geometría!$B$72:$B$90,0))*0.0254</f>
        <v>2.5999999999999885</v>
      </c>
      <c r="E35" s="18">
        <f t="shared" si="0"/>
        <v>0.3</v>
      </c>
      <c r="F35" s="18">
        <f t="shared" si="1"/>
        <v>0.5</v>
      </c>
      <c r="G35" s="17" t="str">
        <f>INDEX(Geometría!$C$72:$C$90,MATCH($A35,Geometría!$B$72:$B$90,0))</f>
        <v>C30x50 G35</v>
      </c>
    </row>
    <row r="36" spans="1:7" x14ac:dyDescent="0.3">
      <c r="A36" s="28" t="s">
        <v>108</v>
      </c>
      <c r="B36" s="18">
        <f>INDEX(Geometría!$D$72:$D$90,MATCH($A36,Geometría!$B$72:$B$90,0))*0.0254</f>
        <v>22.249465669551494</v>
      </c>
      <c r="C36" s="18">
        <f>INDEX(Geometría!$E$72:$E$90,MATCH($A36,Geometría!$B$72:$B$90,0))*0.0254</f>
        <v>42.108877208287204</v>
      </c>
      <c r="D36" s="18">
        <f>INDEX(Geometría!$F$72:$F$90,MATCH($A36,Geometría!$B$72:$B$90,0))*0.0254</f>
        <v>2.5999999999999885</v>
      </c>
      <c r="E36" s="18">
        <f t="shared" si="0"/>
        <v>0.3</v>
      </c>
      <c r="F36" s="18">
        <f t="shared" si="1"/>
        <v>0.5</v>
      </c>
      <c r="G36" s="17" t="str">
        <f>INDEX(Geometría!$C$72:$C$90,MATCH($A36,Geometría!$B$72:$B$90,0))</f>
        <v>C30x50 G35</v>
      </c>
    </row>
    <row r="37" spans="1:7" x14ac:dyDescent="0.3">
      <c r="A37" s="28" t="s">
        <v>109</v>
      </c>
      <c r="B37" s="18">
        <f>INDEX(Geometría!$D$72:$D$90,MATCH($A37,Geometría!$B$72:$B$90,0))*0.0254</f>
        <v>22.249465669562341</v>
      </c>
      <c r="C37" s="18">
        <f>INDEX(Geometría!$E$72:$E$90,MATCH($A37,Geometría!$B$72:$B$90,0))*0.0254</f>
        <v>37.108877208301621</v>
      </c>
      <c r="D37" s="18">
        <f>INDEX(Geometría!$F$72:$F$90,MATCH($A37,Geometría!$B$72:$B$90,0))*0.0254</f>
        <v>2.5999999999999885</v>
      </c>
      <c r="E37" s="18">
        <f t="shared" si="0"/>
        <v>0.3</v>
      </c>
      <c r="F37" s="18">
        <f t="shared" si="1"/>
        <v>0.5</v>
      </c>
      <c r="G37" s="17" t="str">
        <f>INDEX(Geometría!$C$72:$C$90,MATCH($A37,Geometría!$B$72:$B$90,0))</f>
        <v>C30x50 G35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F787-6B86-4A53-B187-A46F7E6173F2}">
  <dimension ref="B2:BC90"/>
  <sheetViews>
    <sheetView topLeftCell="A69" workbookViewId="0">
      <selection activeCell="B90" sqref="B90"/>
    </sheetView>
  </sheetViews>
  <sheetFormatPr baseColWidth="10" defaultRowHeight="14.4" x14ac:dyDescent="0.3"/>
  <cols>
    <col min="2" max="2" width="18.88671875" bestFit="1" customWidth="1"/>
    <col min="3" max="4" width="10.21875" bestFit="1" customWidth="1"/>
    <col min="5" max="7" width="12" bestFit="1" customWidth="1"/>
    <col min="8" max="8" width="10.88671875" bestFit="1" customWidth="1"/>
  </cols>
  <sheetData>
    <row r="2" spans="2:55" x14ac:dyDescent="0.3">
      <c r="B2" t="s">
        <v>0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V2" s="16" t="s">
        <v>89</v>
      </c>
      <c r="W2" s="16" t="s">
        <v>90</v>
      </c>
      <c r="X2" s="16" t="s">
        <v>91</v>
      </c>
      <c r="Y2" s="16" t="s">
        <v>92</v>
      </c>
      <c r="Z2" s="16" t="s">
        <v>97</v>
      </c>
      <c r="AA2" s="16" t="s">
        <v>94</v>
      </c>
      <c r="AB2" s="16" t="s">
        <v>0</v>
      </c>
      <c r="AC2" s="16" t="s">
        <v>99</v>
      </c>
      <c r="AD2" s="16" t="s">
        <v>100</v>
      </c>
    </row>
    <row r="3" spans="2:55" x14ac:dyDescent="0.3">
      <c r="B3" t="s">
        <v>34</v>
      </c>
      <c r="C3" t="s">
        <v>82</v>
      </c>
      <c r="D3">
        <v>4</v>
      </c>
      <c r="E3">
        <v>173.28063043597999</v>
      </c>
      <c r="F3">
        <v>206.044682904875</v>
      </c>
      <c r="G3">
        <v>102.362204724409</v>
      </c>
      <c r="H3" t="s">
        <v>83</v>
      </c>
      <c r="I3">
        <v>173.28063043588801</v>
      </c>
      <c r="J3">
        <v>2073.8527614607601</v>
      </c>
      <c r="K3">
        <v>102.362204724409</v>
      </c>
      <c r="L3" t="s">
        <v>83</v>
      </c>
      <c r="M3">
        <v>173.28063043588801</v>
      </c>
      <c r="N3">
        <v>2073.8527614607601</v>
      </c>
      <c r="O3">
        <v>0</v>
      </c>
      <c r="P3" t="s">
        <v>84</v>
      </c>
      <c r="Q3">
        <v>173.28063043597999</v>
      </c>
      <c r="R3">
        <v>206.044682904875</v>
      </c>
      <c r="S3">
        <v>0</v>
      </c>
      <c r="T3" t="s">
        <v>84</v>
      </c>
      <c r="U3" t="s">
        <v>85</v>
      </c>
      <c r="V3" s="18">
        <f>IF(ISNUMBER($E3),$E3*0.0254,"")</f>
        <v>4.4013280130738917</v>
      </c>
      <c r="W3" s="18">
        <f>IF(ISNUMBER($F3),$F3*0.0254,"")</f>
        <v>5.2335349457838252</v>
      </c>
      <c r="X3" s="18">
        <f>IF(ISNUMBER($I3),$I3*0.0254,"")</f>
        <v>4.4013280130715557</v>
      </c>
      <c r="Y3" s="18">
        <f>IF(ISNUMBER($J3),$J3*0.0254,"")</f>
        <v>52.675860141103307</v>
      </c>
      <c r="Z3" s="20">
        <f>IF(ISNUMBER($E3),SQRT((X3-V3)^2+(Y3-W3)^2),"")</f>
        <v>47.442325195319484</v>
      </c>
      <c r="AA3" s="18">
        <f>IFERROR(VALUE(TRIM(MID($C3,4,FIND("G",$C3)-4)))/100,"")</f>
        <v>0.2</v>
      </c>
      <c r="AB3" s="17" t="str">
        <f>IF(ISNUMBER($E3),$B3,"")</f>
        <v>P1</v>
      </c>
      <c r="AC3" s="18">
        <f>IF(ISNUMBER($E3),ABS($X3-$V3),"")</f>
        <v>2.3359092438113294E-12</v>
      </c>
      <c r="AD3" s="18">
        <f>IF(ISNUMBER($E3),ABS($Y3-$W3),"")</f>
        <v>47.442325195319484</v>
      </c>
      <c r="AE3">
        <v>173.28063043588801</v>
      </c>
      <c r="AF3">
        <v>2073.8527614607601</v>
      </c>
      <c r="AG3">
        <v>0</v>
      </c>
      <c r="AH3">
        <v>173.28063043588801</v>
      </c>
      <c r="AI3">
        <v>2073.8527614607601</v>
      </c>
      <c r="AJ3">
        <v>102.362204724409</v>
      </c>
      <c r="AK3" t="s">
        <v>85</v>
      </c>
      <c r="AL3">
        <v>2</v>
      </c>
      <c r="AM3">
        <v>173.28063043588801</v>
      </c>
      <c r="AN3">
        <v>2073.8527614607601</v>
      </c>
      <c r="AO3">
        <v>102.362204724409</v>
      </c>
      <c r="AP3">
        <v>173.28063043597999</v>
      </c>
      <c r="AQ3">
        <v>206.044682904875</v>
      </c>
      <c r="AR3">
        <v>102.362204724409</v>
      </c>
      <c r="AS3" t="s">
        <v>85</v>
      </c>
      <c r="AT3">
        <v>2</v>
      </c>
      <c r="AU3">
        <v>173.28063043597999</v>
      </c>
      <c r="AV3">
        <v>206.044682904875</v>
      </c>
      <c r="AW3">
        <v>102.362204724409</v>
      </c>
      <c r="AX3">
        <v>173.28063043597999</v>
      </c>
      <c r="AY3">
        <v>206.044682904875</v>
      </c>
      <c r="AZ3">
        <v>0</v>
      </c>
      <c r="BA3" t="s">
        <v>86</v>
      </c>
      <c r="BB3">
        <v>0</v>
      </c>
      <c r="BC3">
        <v>0</v>
      </c>
    </row>
    <row r="4" spans="2:55" x14ac:dyDescent="0.3">
      <c r="V4" s="18" t="str">
        <f t="shared" ref="V4:V67" si="0">IF(ISNUMBER($E4),$E4*0.0254,"")</f>
        <v/>
      </c>
      <c r="W4" s="18" t="str">
        <f t="shared" ref="W4:W67" si="1">IF(ISNUMBER($F4),$F4*0.0254,"")</f>
        <v/>
      </c>
      <c r="X4" s="18" t="str">
        <f t="shared" ref="X4:X67" si="2">IF(ISNUMBER($I4),$I4*0.0254,"")</f>
        <v/>
      </c>
      <c r="Y4" s="18" t="str">
        <f t="shared" ref="Y4:Y67" si="3">IF(ISNUMBER($J4),$J4*0.0254,"")</f>
        <v/>
      </c>
      <c r="Z4" s="20" t="str">
        <f t="shared" ref="Z4:Z67" si="4">IF(ISNUMBER($E4),SQRT((X4-V4)^2+(Y4-W4)^2),"")</f>
        <v/>
      </c>
      <c r="AA4" s="18" t="str">
        <f t="shared" ref="AA4:AA67" si="5">IFERROR(VALUE(TRIM(MID($C4,4,FIND("G",$C4)-4)))/100,"")</f>
        <v/>
      </c>
      <c r="AB4" s="17" t="str">
        <f t="shared" ref="AB4:AB67" si="6">IF(ISNUMBER($E4),$B4,"")</f>
        <v/>
      </c>
      <c r="AC4" s="18" t="str">
        <f t="shared" ref="AC4:AC67" si="7">IF(ISNUMBER($E4),ABS($X4-$V4),"")</f>
        <v/>
      </c>
      <c r="AD4" s="18" t="str">
        <f t="shared" ref="AD4:AD67" si="8">IF(ISNUMBER($E4),ABS($Y4-$W4),"")</f>
        <v/>
      </c>
    </row>
    <row r="5" spans="2:55" x14ac:dyDescent="0.3"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V5" s="18" t="str">
        <f t="shared" si="0"/>
        <v/>
      </c>
      <c r="W5" s="18" t="str">
        <f t="shared" si="1"/>
        <v/>
      </c>
      <c r="X5" s="18" t="str">
        <f t="shared" si="2"/>
        <v/>
      </c>
      <c r="Y5" s="18" t="str">
        <f t="shared" si="3"/>
        <v/>
      </c>
      <c r="Z5" s="20" t="str">
        <f t="shared" si="4"/>
        <v/>
      </c>
      <c r="AA5" s="18" t="str">
        <f t="shared" si="5"/>
        <v/>
      </c>
      <c r="AB5" s="17" t="str">
        <f t="shared" si="6"/>
        <v/>
      </c>
      <c r="AC5" s="18" t="str">
        <f t="shared" si="7"/>
        <v/>
      </c>
      <c r="AD5" s="18" t="str">
        <f t="shared" si="8"/>
        <v/>
      </c>
    </row>
    <row r="6" spans="2:55" x14ac:dyDescent="0.3">
      <c r="B6" t="s">
        <v>13</v>
      </c>
      <c r="C6" t="s">
        <v>82</v>
      </c>
      <c r="D6">
        <v>4</v>
      </c>
      <c r="E6">
        <v>173.28063043588801</v>
      </c>
      <c r="F6">
        <v>2073.8527614607601</v>
      </c>
      <c r="G6">
        <v>102.362204724409</v>
      </c>
      <c r="H6" t="s">
        <v>83</v>
      </c>
      <c r="I6">
        <v>1204.7766934278</v>
      </c>
      <c r="J6">
        <v>2073.8527614607801</v>
      </c>
      <c r="K6">
        <v>102.362204724409</v>
      </c>
      <c r="L6" t="s">
        <v>83</v>
      </c>
      <c r="M6">
        <v>1204.7766934278</v>
      </c>
      <c r="N6">
        <v>2073.8527614607801</v>
      </c>
      <c r="O6">
        <v>0</v>
      </c>
      <c r="P6" t="s">
        <v>84</v>
      </c>
      <c r="Q6">
        <v>173.28063043588801</v>
      </c>
      <c r="R6">
        <v>2073.8527614607601</v>
      </c>
      <c r="S6">
        <v>0</v>
      </c>
      <c r="T6" t="s">
        <v>84</v>
      </c>
      <c r="U6" t="s">
        <v>85</v>
      </c>
      <c r="V6" s="18">
        <f t="shared" si="0"/>
        <v>4.4013280130715557</v>
      </c>
      <c r="W6" s="18">
        <f t="shared" si="1"/>
        <v>52.675860141103307</v>
      </c>
      <c r="X6" s="18">
        <f t="shared" si="2"/>
        <v>30.601328013066119</v>
      </c>
      <c r="Y6" s="18">
        <f t="shared" si="3"/>
        <v>52.675860141103811</v>
      </c>
      <c r="Z6" s="20">
        <f t="shared" si="4"/>
        <v>26.199999999994564</v>
      </c>
      <c r="AA6" s="18">
        <f t="shared" si="5"/>
        <v>0.2</v>
      </c>
      <c r="AB6" s="17" t="str">
        <f t="shared" si="6"/>
        <v>PN</v>
      </c>
      <c r="AC6" s="18">
        <f t="shared" si="7"/>
        <v>26.199999999994564</v>
      </c>
      <c r="AD6" s="18">
        <f t="shared" si="8"/>
        <v>5.0448534238967113E-13</v>
      </c>
      <c r="AE6">
        <v>1204.7766934278</v>
      </c>
      <c r="AF6">
        <v>2073.8527614607801</v>
      </c>
      <c r="AG6">
        <v>0</v>
      </c>
      <c r="AH6">
        <v>1204.7766934278</v>
      </c>
      <c r="AI6">
        <v>2073.8527614607801</v>
      </c>
      <c r="AJ6">
        <v>102.362204724409</v>
      </c>
      <c r="AK6" t="s">
        <v>85</v>
      </c>
      <c r="AL6">
        <v>2</v>
      </c>
      <c r="AM6">
        <v>1204.7766934278</v>
      </c>
      <c r="AN6">
        <v>2073.8527614607801</v>
      </c>
      <c r="AO6">
        <v>102.362204724409</v>
      </c>
      <c r="AP6">
        <v>173.28063043588801</v>
      </c>
      <c r="AQ6">
        <v>2073.8527614607601</v>
      </c>
      <c r="AR6">
        <v>102.362204724409</v>
      </c>
      <c r="AS6" t="s">
        <v>85</v>
      </c>
      <c r="AT6">
        <v>2</v>
      </c>
      <c r="AU6">
        <v>173.28063043588801</v>
      </c>
      <c r="AV6">
        <v>2073.8527614607601</v>
      </c>
      <c r="AW6">
        <v>102.362204724409</v>
      </c>
      <c r="AX6">
        <v>173.28063043588801</v>
      </c>
      <c r="AY6">
        <v>2073.8527614607601</v>
      </c>
      <c r="AZ6">
        <v>0</v>
      </c>
      <c r="BA6" t="s">
        <v>86</v>
      </c>
      <c r="BB6">
        <v>0</v>
      </c>
      <c r="BC6">
        <v>0</v>
      </c>
    </row>
    <row r="7" spans="2:55" x14ac:dyDescent="0.3">
      <c r="V7" s="18" t="str">
        <f t="shared" si="0"/>
        <v/>
      </c>
      <c r="W7" s="18" t="str">
        <f t="shared" si="1"/>
        <v/>
      </c>
      <c r="X7" s="18" t="str">
        <f t="shared" si="2"/>
        <v/>
      </c>
      <c r="Y7" s="18" t="str">
        <f t="shared" si="3"/>
        <v/>
      </c>
      <c r="Z7" s="20" t="str">
        <f t="shared" si="4"/>
        <v/>
      </c>
      <c r="AA7" s="18" t="str">
        <f t="shared" si="5"/>
        <v/>
      </c>
      <c r="AB7" s="17" t="str">
        <f t="shared" si="6"/>
        <v/>
      </c>
      <c r="AC7" s="18" t="str">
        <f t="shared" si="7"/>
        <v/>
      </c>
      <c r="AD7" s="18" t="str">
        <f t="shared" si="8"/>
        <v/>
      </c>
    </row>
    <row r="8" spans="2:55" x14ac:dyDescent="0.3"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81</v>
      </c>
      <c r="V8" s="18" t="str">
        <f t="shared" si="0"/>
        <v/>
      </c>
      <c r="W8" s="18" t="str">
        <f t="shared" si="1"/>
        <v/>
      </c>
      <c r="X8" s="18" t="str">
        <f t="shared" si="2"/>
        <v/>
      </c>
      <c r="Y8" s="18" t="str">
        <f t="shared" si="3"/>
        <v/>
      </c>
      <c r="Z8" s="20" t="str">
        <f t="shared" si="4"/>
        <v/>
      </c>
      <c r="AA8" s="18" t="str">
        <f t="shared" si="5"/>
        <v/>
      </c>
      <c r="AB8" s="17" t="str">
        <f t="shared" si="6"/>
        <v/>
      </c>
      <c r="AC8" s="18" t="str">
        <f t="shared" si="7"/>
        <v/>
      </c>
      <c r="AD8" s="18" t="str">
        <f t="shared" si="8"/>
        <v/>
      </c>
    </row>
    <row r="9" spans="2:55" x14ac:dyDescent="0.3">
      <c r="B9" t="s">
        <v>35</v>
      </c>
      <c r="C9" t="s">
        <v>82</v>
      </c>
      <c r="D9">
        <v>4</v>
      </c>
      <c r="E9">
        <v>1204.7766934278</v>
      </c>
      <c r="F9">
        <v>2073.8527614607801</v>
      </c>
      <c r="G9">
        <v>102.362204724409</v>
      </c>
      <c r="H9" t="s">
        <v>83</v>
      </c>
      <c r="I9">
        <v>1204.77669342799</v>
      </c>
      <c r="J9">
        <v>884.08898193241896</v>
      </c>
      <c r="K9">
        <v>102.362204724409</v>
      </c>
      <c r="L9" t="s">
        <v>83</v>
      </c>
      <c r="M9">
        <v>1204.77669342799</v>
      </c>
      <c r="N9">
        <v>884.08898193241896</v>
      </c>
      <c r="O9">
        <v>0</v>
      </c>
      <c r="P9" t="s">
        <v>84</v>
      </c>
      <c r="Q9">
        <v>1204.7766934278</v>
      </c>
      <c r="R9">
        <v>2073.8527614607801</v>
      </c>
      <c r="S9">
        <v>0</v>
      </c>
      <c r="T9" t="s">
        <v>84</v>
      </c>
      <c r="U9" t="s">
        <v>85</v>
      </c>
      <c r="V9" s="18">
        <f t="shared" si="0"/>
        <v>30.601328013066119</v>
      </c>
      <c r="W9" s="18">
        <f t="shared" si="1"/>
        <v>52.675860141103811</v>
      </c>
      <c r="X9" s="18">
        <f t="shared" si="2"/>
        <v>30.601328013070948</v>
      </c>
      <c r="Y9" s="18">
        <f t="shared" si="3"/>
        <v>22.455860141083441</v>
      </c>
      <c r="Z9" s="20">
        <f t="shared" si="4"/>
        <v>30.22000000002037</v>
      </c>
      <c r="AA9" s="18">
        <f t="shared" si="5"/>
        <v>0.2</v>
      </c>
      <c r="AB9" s="17" t="str">
        <f t="shared" si="6"/>
        <v>P13</v>
      </c>
      <c r="AC9" s="18">
        <f t="shared" si="7"/>
        <v>4.8281378894898808E-12</v>
      </c>
      <c r="AD9" s="18">
        <f t="shared" si="8"/>
        <v>30.22000000002037</v>
      </c>
      <c r="AE9">
        <v>1204.77669342799</v>
      </c>
      <c r="AF9">
        <v>884.08898193241896</v>
      </c>
      <c r="AG9">
        <v>0</v>
      </c>
      <c r="AH9">
        <v>1204.77669342799</v>
      </c>
      <c r="AI9">
        <v>884.08898193241896</v>
      </c>
      <c r="AJ9">
        <v>102.362204724409</v>
      </c>
      <c r="AK9" t="s">
        <v>85</v>
      </c>
      <c r="AL9">
        <v>2</v>
      </c>
      <c r="AM9">
        <v>1204.77669342799</v>
      </c>
      <c r="AN9">
        <v>884.08898193241896</v>
      </c>
      <c r="AO9">
        <v>102.362204724409</v>
      </c>
      <c r="AP9">
        <v>1204.7766934278</v>
      </c>
      <c r="AQ9">
        <v>2073.8527614607801</v>
      </c>
      <c r="AR9">
        <v>102.362204724409</v>
      </c>
      <c r="AS9" t="s">
        <v>85</v>
      </c>
      <c r="AT9">
        <v>2</v>
      </c>
      <c r="AU9">
        <v>1204.7766934278</v>
      </c>
      <c r="AV9">
        <v>2073.8527614607801</v>
      </c>
      <c r="AW9">
        <v>102.362204724409</v>
      </c>
      <c r="AX9">
        <v>1204.7766934278</v>
      </c>
      <c r="AY9">
        <v>2073.8527614607801</v>
      </c>
      <c r="AZ9">
        <v>0</v>
      </c>
      <c r="BA9" t="s">
        <v>86</v>
      </c>
      <c r="BB9">
        <v>0</v>
      </c>
      <c r="BC9">
        <v>0</v>
      </c>
    </row>
    <row r="10" spans="2:55" x14ac:dyDescent="0.3">
      <c r="V10" s="18" t="str">
        <f t="shared" si="0"/>
        <v/>
      </c>
      <c r="W10" s="18" t="str">
        <f t="shared" si="1"/>
        <v/>
      </c>
      <c r="X10" s="18" t="str">
        <f t="shared" si="2"/>
        <v/>
      </c>
      <c r="Y10" s="18" t="str">
        <f t="shared" si="3"/>
        <v/>
      </c>
      <c r="Z10" s="20" t="str">
        <f t="shared" si="4"/>
        <v/>
      </c>
      <c r="AA10" s="18" t="str">
        <f t="shared" si="5"/>
        <v/>
      </c>
      <c r="AB10" s="17" t="str">
        <f t="shared" si="6"/>
        <v/>
      </c>
      <c r="AC10" s="18" t="str">
        <f t="shared" si="7"/>
        <v/>
      </c>
      <c r="AD10" s="18" t="str">
        <f t="shared" si="8"/>
        <v/>
      </c>
    </row>
    <row r="11" spans="2:55" x14ac:dyDescent="0.3"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  <c r="S11" t="s">
        <v>80</v>
      </c>
      <c r="T11" t="s">
        <v>81</v>
      </c>
      <c r="V11" s="18" t="str">
        <f t="shared" si="0"/>
        <v/>
      </c>
      <c r="W11" s="18" t="str">
        <f t="shared" si="1"/>
        <v/>
      </c>
      <c r="X11" s="18" t="str">
        <f t="shared" si="2"/>
        <v/>
      </c>
      <c r="Y11" s="18" t="str">
        <f t="shared" si="3"/>
        <v/>
      </c>
      <c r="Z11" s="20" t="str">
        <f t="shared" si="4"/>
        <v/>
      </c>
      <c r="AA11" s="18" t="str">
        <f t="shared" si="5"/>
        <v/>
      </c>
      <c r="AB11" s="17" t="str">
        <f t="shared" si="6"/>
        <v/>
      </c>
      <c r="AC11" s="18" t="str">
        <f t="shared" si="7"/>
        <v/>
      </c>
      <c r="AD11" s="18" t="str">
        <f t="shared" si="8"/>
        <v/>
      </c>
    </row>
    <row r="12" spans="2:55" x14ac:dyDescent="0.3">
      <c r="B12" t="s">
        <v>36</v>
      </c>
      <c r="C12" t="s">
        <v>82</v>
      </c>
      <c r="D12">
        <v>4</v>
      </c>
      <c r="E12">
        <v>1204.77669342799</v>
      </c>
      <c r="F12">
        <v>884.08898193241896</v>
      </c>
      <c r="G12">
        <v>102.362204724409</v>
      </c>
      <c r="H12" t="s">
        <v>83</v>
      </c>
      <c r="I12">
        <v>1072.88692964852</v>
      </c>
      <c r="J12">
        <v>884.08898193241896</v>
      </c>
      <c r="K12">
        <v>102.362204724409</v>
      </c>
      <c r="L12" t="s">
        <v>83</v>
      </c>
      <c r="M12">
        <v>1072.88692964852</v>
      </c>
      <c r="N12">
        <v>884.08898193241896</v>
      </c>
      <c r="O12">
        <v>0</v>
      </c>
      <c r="P12" t="s">
        <v>84</v>
      </c>
      <c r="Q12">
        <v>1204.77669342799</v>
      </c>
      <c r="R12">
        <v>884.08898193241896</v>
      </c>
      <c r="S12">
        <v>0</v>
      </c>
      <c r="T12" t="s">
        <v>84</v>
      </c>
      <c r="U12" t="s">
        <v>85</v>
      </c>
      <c r="V12" s="18">
        <f t="shared" si="0"/>
        <v>30.601328013070948</v>
      </c>
      <c r="W12" s="18">
        <f t="shared" si="1"/>
        <v>22.455860141083441</v>
      </c>
      <c r="X12" s="18">
        <f t="shared" si="2"/>
        <v>27.251328013072406</v>
      </c>
      <c r="Y12" s="18">
        <f t="shared" si="3"/>
        <v>22.455860141083441</v>
      </c>
      <c r="Z12" s="20">
        <f t="shared" si="4"/>
        <v>3.3499999999985413</v>
      </c>
      <c r="AA12" s="18">
        <f t="shared" si="5"/>
        <v>0.2</v>
      </c>
      <c r="AB12" s="17" t="str">
        <f t="shared" si="6"/>
        <v>Plb</v>
      </c>
      <c r="AC12" s="18">
        <f t="shared" si="7"/>
        <v>3.3499999999985413</v>
      </c>
      <c r="AD12" s="18">
        <f t="shared" si="8"/>
        <v>0</v>
      </c>
      <c r="AE12">
        <v>1072.88692964852</v>
      </c>
      <c r="AF12">
        <v>884.08898193241896</v>
      </c>
      <c r="AG12">
        <v>0</v>
      </c>
      <c r="AH12">
        <v>1072.88692964852</v>
      </c>
      <c r="AI12">
        <v>884.08898193241896</v>
      </c>
      <c r="AJ12">
        <v>102.362204724409</v>
      </c>
      <c r="AK12" t="s">
        <v>85</v>
      </c>
      <c r="AL12">
        <v>2</v>
      </c>
      <c r="AM12">
        <v>1072.88692964852</v>
      </c>
      <c r="AN12">
        <v>884.08898193241896</v>
      </c>
      <c r="AO12">
        <v>102.362204724409</v>
      </c>
      <c r="AP12">
        <v>1204.77669342799</v>
      </c>
      <c r="AQ12">
        <v>884.08898193241896</v>
      </c>
      <c r="AR12">
        <v>102.362204724409</v>
      </c>
      <c r="AS12" t="s">
        <v>85</v>
      </c>
      <c r="AT12">
        <v>2</v>
      </c>
      <c r="AU12">
        <v>1204.77669342799</v>
      </c>
      <c r="AV12">
        <v>884.08898193241896</v>
      </c>
      <c r="AW12">
        <v>102.362204724409</v>
      </c>
      <c r="AX12">
        <v>1204.77669342799</v>
      </c>
      <c r="AY12">
        <v>884.08898193241896</v>
      </c>
      <c r="AZ12">
        <v>0</v>
      </c>
      <c r="BA12" t="s">
        <v>86</v>
      </c>
      <c r="BB12">
        <v>0</v>
      </c>
      <c r="BC12">
        <v>0</v>
      </c>
    </row>
    <row r="13" spans="2:55" x14ac:dyDescent="0.3">
      <c r="V13" s="18" t="str">
        <f t="shared" si="0"/>
        <v/>
      </c>
      <c r="W13" s="18" t="str">
        <f t="shared" si="1"/>
        <v/>
      </c>
      <c r="X13" s="18" t="str">
        <f t="shared" si="2"/>
        <v/>
      </c>
      <c r="Y13" s="18" t="str">
        <f t="shared" si="3"/>
        <v/>
      </c>
      <c r="Z13" s="20" t="str">
        <f t="shared" si="4"/>
        <v/>
      </c>
      <c r="AA13" s="18" t="str">
        <f t="shared" si="5"/>
        <v/>
      </c>
      <c r="AB13" s="17" t="str">
        <f t="shared" si="6"/>
        <v/>
      </c>
      <c r="AC13" s="18" t="str">
        <f t="shared" si="7"/>
        <v/>
      </c>
      <c r="AD13" s="18" t="str">
        <f t="shared" si="8"/>
        <v/>
      </c>
    </row>
    <row r="14" spans="2:55" x14ac:dyDescent="0.3"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M14" t="s">
        <v>74</v>
      </c>
      <c r="N14" t="s">
        <v>75</v>
      </c>
      <c r="O14" t="s">
        <v>76</v>
      </c>
      <c r="P14" t="s">
        <v>77</v>
      </c>
      <c r="Q14" t="s">
        <v>78</v>
      </c>
      <c r="R14" t="s">
        <v>79</v>
      </c>
      <c r="S14" t="s">
        <v>80</v>
      </c>
      <c r="T14" t="s">
        <v>81</v>
      </c>
      <c r="V14" s="18" t="str">
        <f t="shared" si="0"/>
        <v/>
      </c>
      <c r="W14" s="18" t="str">
        <f t="shared" si="1"/>
        <v/>
      </c>
      <c r="X14" s="18" t="str">
        <f t="shared" si="2"/>
        <v/>
      </c>
      <c r="Y14" s="18" t="str">
        <f t="shared" si="3"/>
        <v/>
      </c>
      <c r="Z14" s="20" t="str">
        <f t="shared" si="4"/>
        <v/>
      </c>
      <c r="AA14" s="18" t="str">
        <f t="shared" si="5"/>
        <v/>
      </c>
      <c r="AB14" s="17" t="str">
        <f t="shared" si="6"/>
        <v/>
      </c>
      <c r="AC14" s="18" t="str">
        <f t="shared" si="7"/>
        <v/>
      </c>
      <c r="AD14" s="18" t="str">
        <f t="shared" si="8"/>
        <v/>
      </c>
    </row>
    <row r="15" spans="2:55" x14ac:dyDescent="0.3">
      <c r="B15" t="s">
        <v>37</v>
      </c>
      <c r="C15" t="s">
        <v>82</v>
      </c>
      <c r="D15">
        <v>4</v>
      </c>
      <c r="E15">
        <v>1072.88692964852</v>
      </c>
      <c r="F15">
        <v>884.08898193241896</v>
      </c>
      <c r="G15">
        <v>102.362204724409</v>
      </c>
      <c r="H15" t="s">
        <v>83</v>
      </c>
      <c r="I15">
        <v>1072.8869296488101</v>
      </c>
      <c r="J15">
        <v>510.25421584787699</v>
      </c>
      <c r="K15">
        <v>102.362204724409</v>
      </c>
      <c r="L15" t="s">
        <v>83</v>
      </c>
      <c r="M15">
        <v>1072.8869296488101</v>
      </c>
      <c r="N15">
        <v>510.25421584787699</v>
      </c>
      <c r="O15">
        <v>0</v>
      </c>
      <c r="P15" t="s">
        <v>84</v>
      </c>
      <c r="Q15">
        <v>1072.88692964852</v>
      </c>
      <c r="R15">
        <v>884.08898193241896</v>
      </c>
      <c r="S15">
        <v>0</v>
      </c>
      <c r="T15" t="s">
        <v>84</v>
      </c>
      <c r="U15" t="s">
        <v>85</v>
      </c>
      <c r="V15" s="18">
        <f t="shared" si="0"/>
        <v>27.251328013072406</v>
      </c>
      <c r="W15" s="18">
        <f t="shared" si="1"/>
        <v>22.455860141083441</v>
      </c>
      <c r="X15" s="18">
        <f t="shared" si="2"/>
        <v>27.251328013079775</v>
      </c>
      <c r="Y15" s="18">
        <f t="shared" si="3"/>
        <v>12.960457082536076</v>
      </c>
      <c r="Z15" s="20">
        <f t="shared" si="4"/>
        <v>9.4954030585473657</v>
      </c>
      <c r="AA15" s="18">
        <f t="shared" si="5"/>
        <v>0.2</v>
      </c>
      <c r="AB15" s="17" t="str">
        <f t="shared" si="6"/>
        <v>P12</v>
      </c>
      <c r="AC15" s="18">
        <f t="shared" si="7"/>
        <v>7.3683281698322389E-12</v>
      </c>
      <c r="AD15" s="18">
        <f t="shared" si="8"/>
        <v>9.4954030585473657</v>
      </c>
      <c r="AE15">
        <v>1072.8869296488101</v>
      </c>
      <c r="AF15">
        <v>510.25421584787699</v>
      </c>
      <c r="AG15">
        <v>0</v>
      </c>
      <c r="AH15">
        <v>1072.8869296488101</v>
      </c>
      <c r="AI15">
        <v>510.25421584787699</v>
      </c>
      <c r="AJ15">
        <v>102.362204724409</v>
      </c>
      <c r="AK15" t="s">
        <v>85</v>
      </c>
      <c r="AL15">
        <v>2</v>
      </c>
      <c r="AM15">
        <v>1072.8869296488101</v>
      </c>
      <c r="AN15">
        <v>510.25421584787699</v>
      </c>
      <c r="AO15">
        <v>102.362204724409</v>
      </c>
      <c r="AP15">
        <v>1072.88692964852</v>
      </c>
      <c r="AQ15">
        <v>884.08898193241896</v>
      </c>
      <c r="AR15">
        <v>102.362204724409</v>
      </c>
      <c r="AS15" t="s">
        <v>85</v>
      </c>
      <c r="AT15">
        <v>2</v>
      </c>
      <c r="AU15">
        <v>1072.88692964852</v>
      </c>
      <c r="AV15">
        <v>884.08898193241896</v>
      </c>
      <c r="AW15">
        <v>102.362204724409</v>
      </c>
      <c r="AX15">
        <v>1072.88692964852</v>
      </c>
      <c r="AY15">
        <v>884.08898193241896</v>
      </c>
      <c r="AZ15">
        <v>0</v>
      </c>
      <c r="BA15" t="s">
        <v>86</v>
      </c>
      <c r="BB15">
        <v>0</v>
      </c>
      <c r="BC15">
        <v>0</v>
      </c>
    </row>
    <row r="16" spans="2:55" x14ac:dyDescent="0.3">
      <c r="V16" s="18" t="str">
        <f t="shared" si="0"/>
        <v/>
      </c>
      <c r="W16" s="18" t="str">
        <f t="shared" si="1"/>
        <v/>
      </c>
      <c r="X16" s="18" t="str">
        <f t="shared" si="2"/>
        <v/>
      </c>
      <c r="Y16" s="18" t="str">
        <f t="shared" si="3"/>
        <v/>
      </c>
      <c r="Z16" s="20" t="str">
        <f t="shared" si="4"/>
        <v/>
      </c>
      <c r="AA16" s="18" t="str">
        <f t="shared" si="5"/>
        <v/>
      </c>
      <c r="AB16" s="17" t="str">
        <f t="shared" si="6"/>
        <v/>
      </c>
      <c r="AC16" s="18" t="str">
        <f t="shared" si="7"/>
        <v/>
      </c>
      <c r="AD16" s="18" t="str">
        <f t="shared" si="8"/>
        <v/>
      </c>
    </row>
    <row r="17" spans="2:55" x14ac:dyDescent="0.3"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  <c r="P17" t="s">
        <v>77</v>
      </c>
      <c r="Q17" t="s">
        <v>78</v>
      </c>
      <c r="R17" t="s">
        <v>79</v>
      </c>
      <c r="S17" t="s">
        <v>80</v>
      </c>
      <c r="T17" t="s">
        <v>81</v>
      </c>
      <c r="V17" s="18" t="str">
        <f t="shared" si="0"/>
        <v/>
      </c>
      <c r="W17" s="18" t="str">
        <f t="shared" si="1"/>
        <v/>
      </c>
      <c r="X17" s="18" t="str">
        <f t="shared" si="2"/>
        <v/>
      </c>
      <c r="Y17" s="18" t="str">
        <f t="shared" si="3"/>
        <v/>
      </c>
      <c r="Z17" s="20" t="str">
        <f t="shared" si="4"/>
        <v/>
      </c>
      <c r="AA17" s="18" t="str">
        <f t="shared" si="5"/>
        <v/>
      </c>
      <c r="AB17" s="17" t="str">
        <f t="shared" si="6"/>
        <v/>
      </c>
      <c r="AC17" s="18" t="str">
        <f t="shared" si="7"/>
        <v/>
      </c>
      <c r="AD17" s="18" t="str">
        <f t="shared" si="8"/>
        <v/>
      </c>
    </row>
    <row r="18" spans="2:55" x14ac:dyDescent="0.3">
      <c r="B18" t="s">
        <v>51</v>
      </c>
      <c r="C18" t="s">
        <v>87</v>
      </c>
      <c r="D18">
        <v>4</v>
      </c>
      <c r="E18">
        <v>389.42236271955102</v>
      </c>
      <c r="F18">
        <v>1255.1340568616499</v>
      </c>
      <c r="G18">
        <v>102.362204724409</v>
      </c>
      <c r="H18" t="s">
        <v>83</v>
      </c>
      <c r="I18">
        <v>439.91448869542302</v>
      </c>
      <c r="J18">
        <v>1255.1340568616499</v>
      </c>
      <c r="K18">
        <v>102.362204724409</v>
      </c>
      <c r="L18" t="s">
        <v>83</v>
      </c>
      <c r="M18">
        <v>439.91448869542302</v>
      </c>
      <c r="N18">
        <v>1255.1340568616499</v>
      </c>
      <c r="O18">
        <v>0</v>
      </c>
      <c r="P18" t="s">
        <v>84</v>
      </c>
      <c r="Q18">
        <v>389.42236271955102</v>
      </c>
      <c r="R18">
        <v>1255.1340568616499</v>
      </c>
      <c r="S18">
        <v>0</v>
      </c>
      <c r="T18" t="s">
        <v>84</v>
      </c>
      <c r="U18" t="s">
        <v>85</v>
      </c>
      <c r="V18" s="18">
        <f t="shared" si="0"/>
        <v>9.8913280130765955</v>
      </c>
      <c r="W18" s="18">
        <f t="shared" si="1"/>
        <v>31.880405044285908</v>
      </c>
      <c r="X18" s="18">
        <f t="shared" si="2"/>
        <v>11.173828012863744</v>
      </c>
      <c r="Y18" s="18">
        <f t="shared" si="3"/>
        <v>31.880405044285908</v>
      </c>
      <c r="Z18" s="20">
        <f t="shared" si="4"/>
        <v>1.2824999997871487</v>
      </c>
      <c r="AA18" s="18">
        <f t="shared" si="5"/>
        <v>0.25</v>
      </c>
      <c r="AB18" s="17" t="str">
        <f t="shared" si="6"/>
        <v>P3-L</v>
      </c>
      <c r="AC18" s="18">
        <f t="shared" si="7"/>
        <v>1.2824999997871487</v>
      </c>
      <c r="AD18" s="18">
        <f t="shared" si="8"/>
        <v>0</v>
      </c>
      <c r="AE18">
        <v>439.91448869542302</v>
      </c>
      <c r="AF18">
        <v>1255.1340568616499</v>
      </c>
      <c r="AG18">
        <v>0</v>
      </c>
      <c r="AH18">
        <v>439.91448869542302</v>
      </c>
      <c r="AI18">
        <v>1255.1340568616499</v>
      </c>
      <c r="AJ18">
        <v>102.362204724409</v>
      </c>
      <c r="AK18" t="s">
        <v>85</v>
      </c>
      <c r="AL18">
        <v>2</v>
      </c>
      <c r="AM18">
        <v>439.91448869542302</v>
      </c>
      <c r="AN18">
        <v>1255.1340568616499</v>
      </c>
      <c r="AO18">
        <v>102.362204724409</v>
      </c>
      <c r="AP18">
        <v>389.42236271955102</v>
      </c>
      <c r="AQ18">
        <v>1255.1340568616499</v>
      </c>
      <c r="AR18">
        <v>102.362204724409</v>
      </c>
      <c r="AS18" t="s">
        <v>85</v>
      </c>
      <c r="AT18">
        <v>2</v>
      </c>
      <c r="AU18">
        <v>389.42236271955102</v>
      </c>
      <c r="AV18">
        <v>1255.1340568616499</v>
      </c>
      <c r="AW18">
        <v>102.362204724409</v>
      </c>
      <c r="AX18">
        <v>389.42236271955102</v>
      </c>
      <c r="AY18">
        <v>1255.1340568616499</v>
      </c>
      <c r="AZ18">
        <v>0</v>
      </c>
      <c r="BA18" t="s">
        <v>86</v>
      </c>
      <c r="BB18">
        <v>0</v>
      </c>
      <c r="BC18">
        <v>0</v>
      </c>
    </row>
    <row r="19" spans="2:55" x14ac:dyDescent="0.3">
      <c r="V19" s="18" t="str">
        <f t="shared" si="0"/>
        <v/>
      </c>
      <c r="W19" s="18" t="str">
        <f t="shared" si="1"/>
        <v/>
      </c>
      <c r="X19" s="18" t="str">
        <f t="shared" si="2"/>
        <v/>
      </c>
      <c r="Y19" s="18" t="str">
        <f t="shared" si="3"/>
        <v/>
      </c>
      <c r="Z19" s="20" t="str">
        <f t="shared" si="4"/>
        <v/>
      </c>
      <c r="AA19" s="18" t="str">
        <f t="shared" si="5"/>
        <v/>
      </c>
      <c r="AB19" s="17" t="str">
        <f t="shared" si="6"/>
        <v/>
      </c>
      <c r="AC19" s="18" t="str">
        <f t="shared" si="7"/>
        <v/>
      </c>
      <c r="AD19" s="18" t="str">
        <f t="shared" si="8"/>
        <v/>
      </c>
    </row>
    <row r="20" spans="2:55" x14ac:dyDescent="0.3"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76</v>
      </c>
      <c r="P20" t="s">
        <v>77</v>
      </c>
      <c r="Q20" t="s">
        <v>78</v>
      </c>
      <c r="R20" t="s">
        <v>79</v>
      </c>
      <c r="S20" t="s">
        <v>80</v>
      </c>
      <c r="T20" t="s">
        <v>81</v>
      </c>
      <c r="V20" s="18" t="str">
        <f t="shared" si="0"/>
        <v/>
      </c>
      <c r="W20" s="18" t="str">
        <f t="shared" si="1"/>
        <v/>
      </c>
      <c r="X20" s="18" t="str">
        <f t="shared" si="2"/>
        <v/>
      </c>
      <c r="Y20" s="18" t="str">
        <f t="shared" si="3"/>
        <v/>
      </c>
      <c r="Z20" s="20" t="str">
        <f t="shared" si="4"/>
        <v/>
      </c>
      <c r="AA20" s="18" t="str">
        <f t="shared" si="5"/>
        <v/>
      </c>
      <c r="AB20" s="17" t="str">
        <f t="shared" si="6"/>
        <v/>
      </c>
      <c r="AC20" s="18" t="str">
        <f t="shared" si="7"/>
        <v/>
      </c>
      <c r="AD20" s="18" t="str">
        <f t="shared" si="8"/>
        <v/>
      </c>
    </row>
    <row r="21" spans="2:55" x14ac:dyDescent="0.3">
      <c r="B21" t="s">
        <v>50</v>
      </c>
      <c r="C21" t="s">
        <v>87</v>
      </c>
      <c r="D21">
        <v>4</v>
      </c>
      <c r="E21">
        <v>389.42236271943602</v>
      </c>
      <c r="F21">
        <v>1105.52775764901</v>
      </c>
      <c r="G21">
        <v>102.362204724409</v>
      </c>
      <c r="H21" t="s">
        <v>83</v>
      </c>
      <c r="I21">
        <v>389.42236271955102</v>
      </c>
      <c r="J21">
        <v>1255.1340568616499</v>
      </c>
      <c r="K21">
        <v>102.362204724409</v>
      </c>
      <c r="L21" t="s">
        <v>83</v>
      </c>
      <c r="M21">
        <v>389.42236271955102</v>
      </c>
      <c r="N21">
        <v>1255.1340568616499</v>
      </c>
      <c r="O21">
        <v>0</v>
      </c>
      <c r="P21" t="s">
        <v>84</v>
      </c>
      <c r="Q21">
        <v>389.42236271943602</v>
      </c>
      <c r="R21">
        <v>1105.52775764901</v>
      </c>
      <c r="S21">
        <v>0</v>
      </c>
      <c r="T21" t="s">
        <v>84</v>
      </c>
      <c r="U21" t="s">
        <v>85</v>
      </c>
      <c r="V21" s="18">
        <f t="shared" si="0"/>
        <v>9.8913280130736752</v>
      </c>
      <c r="W21" s="18">
        <f t="shared" si="1"/>
        <v>28.080405044284852</v>
      </c>
      <c r="X21" s="18">
        <f t="shared" si="2"/>
        <v>9.8913280130765955</v>
      </c>
      <c r="Y21" s="18">
        <f t="shared" si="3"/>
        <v>31.880405044285908</v>
      </c>
      <c r="Z21" s="20">
        <f t="shared" si="4"/>
        <v>3.8000000000010559</v>
      </c>
      <c r="AA21" s="18">
        <f t="shared" si="5"/>
        <v>0.25</v>
      </c>
      <c r="AB21" s="17" t="str">
        <f t="shared" si="6"/>
        <v>P3-L-J</v>
      </c>
      <c r="AC21" s="18">
        <f t="shared" si="7"/>
        <v>2.9203306439740118E-12</v>
      </c>
      <c r="AD21" s="18">
        <f t="shared" si="8"/>
        <v>3.8000000000010559</v>
      </c>
      <c r="AE21">
        <v>389.42236271955102</v>
      </c>
      <c r="AF21">
        <v>1255.1340568616499</v>
      </c>
      <c r="AG21">
        <v>0</v>
      </c>
      <c r="AH21">
        <v>389.42236271955102</v>
      </c>
      <c r="AI21">
        <v>1255.1340568616499</v>
      </c>
      <c r="AJ21">
        <v>102.362204724409</v>
      </c>
      <c r="AK21" t="s">
        <v>85</v>
      </c>
      <c r="AL21">
        <v>2</v>
      </c>
      <c r="AM21">
        <v>389.42236271955102</v>
      </c>
      <c r="AN21">
        <v>1255.1340568616499</v>
      </c>
      <c r="AO21">
        <v>102.362204724409</v>
      </c>
      <c r="AP21">
        <v>389.42236271943602</v>
      </c>
      <c r="AQ21">
        <v>1105.52775764901</v>
      </c>
      <c r="AR21">
        <v>102.362204724409</v>
      </c>
      <c r="AS21" t="s">
        <v>85</v>
      </c>
      <c r="AT21">
        <v>2</v>
      </c>
      <c r="AU21">
        <v>389.42236271943602</v>
      </c>
      <c r="AV21">
        <v>1105.52775764901</v>
      </c>
      <c r="AW21">
        <v>102.362204724409</v>
      </c>
      <c r="AX21">
        <v>389.42236271943602</v>
      </c>
      <c r="AY21">
        <v>1105.52775764901</v>
      </c>
      <c r="AZ21">
        <v>0</v>
      </c>
      <c r="BA21" t="s">
        <v>86</v>
      </c>
      <c r="BB21">
        <v>0</v>
      </c>
      <c r="BC21">
        <v>0</v>
      </c>
    </row>
    <row r="22" spans="2:55" x14ac:dyDescent="0.3">
      <c r="V22" s="18" t="str">
        <f t="shared" si="0"/>
        <v/>
      </c>
      <c r="W22" s="18" t="str">
        <f t="shared" si="1"/>
        <v/>
      </c>
      <c r="X22" s="18" t="str">
        <f t="shared" si="2"/>
        <v/>
      </c>
      <c r="Y22" s="18" t="str">
        <f t="shared" si="3"/>
        <v/>
      </c>
      <c r="Z22" s="20" t="str">
        <f t="shared" si="4"/>
        <v/>
      </c>
      <c r="AA22" s="18" t="str">
        <f t="shared" si="5"/>
        <v/>
      </c>
      <c r="AB22" s="17" t="str">
        <f t="shared" si="6"/>
        <v/>
      </c>
      <c r="AC22" s="18" t="str">
        <f t="shared" si="7"/>
        <v/>
      </c>
      <c r="AD22" s="18" t="str">
        <f t="shared" si="8"/>
        <v/>
      </c>
    </row>
    <row r="23" spans="2:55" x14ac:dyDescent="0.3">
      <c r="B23" t="s">
        <v>63</v>
      </c>
      <c r="C23" t="s">
        <v>64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  <c r="M23" t="s">
        <v>74</v>
      </c>
      <c r="N23" t="s">
        <v>75</v>
      </c>
      <c r="O23" t="s">
        <v>76</v>
      </c>
      <c r="P23" t="s">
        <v>77</v>
      </c>
      <c r="Q23" t="s">
        <v>78</v>
      </c>
      <c r="R23" t="s">
        <v>79</v>
      </c>
      <c r="S23" t="s">
        <v>80</v>
      </c>
      <c r="T23" t="s">
        <v>81</v>
      </c>
      <c r="V23" s="18" t="str">
        <f t="shared" si="0"/>
        <v/>
      </c>
      <c r="W23" s="18" t="str">
        <f t="shared" si="1"/>
        <v/>
      </c>
      <c r="X23" s="18" t="str">
        <f t="shared" si="2"/>
        <v/>
      </c>
      <c r="Y23" s="18" t="str">
        <f t="shared" si="3"/>
        <v/>
      </c>
      <c r="Z23" s="20" t="str">
        <f t="shared" si="4"/>
        <v/>
      </c>
      <c r="AA23" s="18" t="str">
        <f t="shared" si="5"/>
        <v/>
      </c>
      <c r="AB23" s="17" t="str">
        <f t="shared" si="6"/>
        <v/>
      </c>
      <c r="AC23" s="18" t="str">
        <f t="shared" si="7"/>
        <v/>
      </c>
      <c r="AD23" s="18" t="str">
        <f t="shared" si="8"/>
        <v/>
      </c>
    </row>
    <row r="24" spans="2:55" x14ac:dyDescent="0.3">
      <c r="B24" t="s">
        <v>40</v>
      </c>
      <c r="C24" t="s">
        <v>87</v>
      </c>
      <c r="D24">
        <v>4</v>
      </c>
      <c r="E24">
        <v>611.01175994184996</v>
      </c>
      <c r="F24">
        <v>971.554826126688</v>
      </c>
      <c r="G24">
        <v>102.362204724409</v>
      </c>
      <c r="H24" t="s">
        <v>83</v>
      </c>
      <c r="I24">
        <v>623.67765716453096</v>
      </c>
      <c r="J24">
        <v>997.39227949989197</v>
      </c>
      <c r="K24">
        <v>102.362204724409</v>
      </c>
      <c r="L24" t="s">
        <v>83</v>
      </c>
      <c r="M24">
        <v>623.67765716453096</v>
      </c>
      <c r="N24">
        <v>997.39227949989197</v>
      </c>
      <c r="O24">
        <v>0</v>
      </c>
      <c r="P24" t="s">
        <v>84</v>
      </c>
      <c r="Q24">
        <v>611.01175994184996</v>
      </c>
      <c r="R24">
        <v>971.554826126688</v>
      </c>
      <c r="S24">
        <v>0</v>
      </c>
      <c r="T24" t="s">
        <v>84</v>
      </c>
      <c r="U24" t="s">
        <v>85</v>
      </c>
      <c r="V24" s="18">
        <f t="shared" si="0"/>
        <v>15.519698702522989</v>
      </c>
      <c r="W24" s="18">
        <f t="shared" si="1"/>
        <v>24.677492583617873</v>
      </c>
      <c r="X24" s="18">
        <f t="shared" si="2"/>
        <v>15.841412491979085</v>
      </c>
      <c r="Y24" s="18">
        <f t="shared" si="3"/>
        <v>25.333763899297256</v>
      </c>
      <c r="Z24" s="20">
        <f t="shared" si="4"/>
        <v>0.73088426040635879</v>
      </c>
      <c r="AA24" s="18">
        <f t="shared" si="5"/>
        <v>0.25</v>
      </c>
      <c r="AB24" s="17" t="str">
        <f t="shared" si="6"/>
        <v>PL-6</v>
      </c>
      <c r="AC24" s="18">
        <f t="shared" si="7"/>
        <v>0.32171378945609597</v>
      </c>
      <c r="AD24" s="18">
        <f t="shared" si="8"/>
        <v>0.65627131567938335</v>
      </c>
      <c r="AE24">
        <v>623.67765716453096</v>
      </c>
      <c r="AF24">
        <v>997.39227949989197</v>
      </c>
      <c r="AG24">
        <v>0</v>
      </c>
      <c r="AH24">
        <v>623.67765716453096</v>
      </c>
      <c r="AI24">
        <v>997.39227949989197</v>
      </c>
      <c r="AJ24">
        <v>102.362204724409</v>
      </c>
      <c r="AK24" t="s">
        <v>85</v>
      </c>
      <c r="AL24">
        <v>2</v>
      </c>
      <c r="AM24">
        <v>623.67765716453096</v>
      </c>
      <c r="AN24">
        <v>997.39227949989197</v>
      </c>
      <c r="AO24">
        <v>102.362204724409</v>
      </c>
      <c r="AP24">
        <v>611.01175994184996</v>
      </c>
      <c r="AQ24">
        <v>971.554826126688</v>
      </c>
      <c r="AR24">
        <v>102.362204724409</v>
      </c>
      <c r="AS24" t="s">
        <v>85</v>
      </c>
      <c r="AT24">
        <v>2</v>
      </c>
      <c r="AU24">
        <v>611.01175994184996</v>
      </c>
      <c r="AV24">
        <v>971.554826126688</v>
      </c>
      <c r="AW24">
        <v>102.362204724409</v>
      </c>
      <c r="AX24">
        <v>611.01175994184996</v>
      </c>
      <c r="AY24">
        <v>971.554826126688</v>
      </c>
      <c r="AZ24">
        <v>0</v>
      </c>
      <c r="BA24" t="s">
        <v>86</v>
      </c>
      <c r="BB24">
        <v>0</v>
      </c>
      <c r="BC24">
        <v>0</v>
      </c>
    </row>
    <row r="25" spans="2:55" x14ac:dyDescent="0.3">
      <c r="B25" t="s">
        <v>40</v>
      </c>
      <c r="C25" t="s">
        <v>87</v>
      </c>
      <c r="D25">
        <v>4</v>
      </c>
      <c r="E25">
        <v>623.67765716453096</v>
      </c>
      <c r="F25">
        <v>997.39227949989197</v>
      </c>
      <c r="G25">
        <v>102.362204724409</v>
      </c>
      <c r="H25" t="s">
        <v>83</v>
      </c>
      <c r="I25">
        <v>623.67765716453096</v>
      </c>
      <c r="J25">
        <v>1127.5694105553</v>
      </c>
      <c r="K25">
        <v>102.362204724409</v>
      </c>
      <c r="L25" t="s">
        <v>83</v>
      </c>
      <c r="M25">
        <v>623.67765716453096</v>
      </c>
      <c r="N25">
        <v>1127.5694105553</v>
      </c>
      <c r="O25">
        <v>0</v>
      </c>
      <c r="P25" t="s">
        <v>84</v>
      </c>
      <c r="Q25">
        <v>623.67765716453096</v>
      </c>
      <c r="R25">
        <v>997.39227949989197</v>
      </c>
      <c r="S25">
        <v>0</v>
      </c>
      <c r="T25" t="s">
        <v>84</v>
      </c>
      <c r="U25" t="s">
        <v>85</v>
      </c>
      <c r="V25" s="18">
        <f t="shared" si="0"/>
        <v>15.841412491979085</v>
      </c>
      <c r="W25" s="18">
        <f t="shared" si="1"/>
        <v>25.333763899297256</v>
      </c>
      <c r="X25" s="18">
        <f t="shared" si="2"/>
        <v>15.841412491979085</v>
      </c>
      <c r="Y25" s="18">
        <f t="shared" si="3"/>
        <v>28.64026302810462</v>
      </c>
      <c r="Z25" s="20">
        <f t="shared" si="4"/>
        <v>3.3064991288073635</v>
      </c>
      <c r="AA25" s="18">
        <f t="shared" si="5"/>
        <v>0.25</v>
      </c>
      <c r="AB25" s="17" t="str">
        <f t="shared" si="6"/>
        <v>PL-6</v>
      </c>
      <c r="AC25" s="18">
        <f t="shared" si="7"/>
        <v>0</v>
      </c>
      <c r="AD25" s="18">
        <f t="shared" si="8"/>
        <v>3.3064991288073635</v>
      </c>
      <c r="AE25">
        <v>623.67765716453096</v>
      </c>
      <c r="AF25">
        <v>1127.5694105553</v>
      </c>
      <c r="AG25">
        <v>0</v>
      </c>
      <c r="AH25">
        <v>623.67765716453096</v>
      </c>
      <c r="AI25">
        <v>1127.5694105553</v>
      </c>
      <c r="AJ25">
        <v>102.362204724409</v>
      </c>
      <c r="AK25" t="s">
        <v>85</v>
      </c>
      <c r="AL25">
        <v>2</v>
      </c>
      <c r="AM25">
        <v>623.67765716453096</v>
      </c>
      <c r="AN25">
        <v>1127.5694105553</v>
      </c>
      <c r="AO25">
        <v>102.362204724409</v>
      </c>
      <c r="AP25">
        <v>623.67765716453096</v>
      </c>
      <c r="AQ25">
        <v>997.39227949989197</v>
      </c>
      <c r="AR25">
        <v>102.362204724409</v>
      </c>
      <c r="AS25" t="s">
        <v>85</v>
      </c>
      <c r="AT25">
        <v>2</v>
      </c>
      <c r="AU25">
        <v>623.67765716453096</v>
      </c>
      <c r="AV25">
        <v>997.39227949989197</v>
      </c>
      <c r="AW25">
        <v>102.362204724409</v>
      </c>
      <c r="AX25">
        <v>623.67765716453096</v>
      </c>
      <c r="AY25">
        <v>997.39227949989197</v>
      </c>
      <c r="AZ25">
        <v>0</v>
      </c>
      <c r="BA25" t="s">
        <v>86</v>
      </c>
      <c r="BB25">
        <v>0</v>
      </c>
      <c r="BC25">
        <v>0</v>
      </c>
    </row>
    <row r="26" spans="2:55" x14ac:dyDescent="0.3">
      <c r="B26" t="s">
        <v>40</v>
      </c>
      <c r="C26" t="s">
        <v>87</v>
      </c>
      <c r="D26">
        <v>4</v>
      </c>
      <c r="E26">
        <v>623.67765716453096</v>
      </c>
      <c r="F26">
        <v>1127.5694105553</v>
      </c>
      <c r="G26">
        <v>102.362204724409</v>
      </c>
      <c r="H26" t="s">
        <v>83</v>
      </c>
      <c r="I26">
        <v>623.67765716487497</v>
      </c>
      <c r="J26">
        <v>1255.1340568616499</v>
      </c>
      <c r="K26">
        <v>102.362204724409</v>
      </c>
      <c r="L26" t="s">
        <v>83</v>
      </c>
      <c r="M26">
        <v>623.67765716487497</v>
      </c>
      <c r="N26">
        <v>1255.1340568616499</v>
      </c>
      <c r="O26">
        <v>0</v>
      </c>
      <c r="P26" t="s">
        <v>84</v>
      </c>
      <c r="Q26">
        <v>623.67765716453096</v>
      </c>
      <c r="R26">
        <v>1127.5694105553</v>
      </c>
      <c r="S26">
        <v>0</v>
      </c>
      <c r="T26" t="s">
        <v>84</v>
      </c>
      <c r="U26" t="s">
        <v>85</v>
      </c>
      <c r="V26" s="18">
        <f t="shared" si="0"/>
        <v>15.841412491979085</v>
      </c>
      <c r="W26" s="18">
        <f t="shared" si="1"/>
        <v>28.64026302810462</v>
      </c>
      <c r="X26" s="18">
        <f t="shared" si="2"/>
        <v>15.841412491987823</v>
      </c>
      <c r="Y26" s="18">
        <f t="shared" si="3"/>
        <v>31.880405044285908</v>
      </c>
      <c r="Z26" s="20">
        <f t="shared" si="4"/>
        <v>3.2401420161812879</v>
      </c>
      <c r="AA26" s="18">
        <f t="shared" si="5"/>
        <v>0.25</v>
      </c>
      <c r="AB26" s="17" t="str">
        <f t="shared" si="6"/>
        <v>PL-6</v>
      </c>
      <c r="AC26" s="18">
        <f t="shared" si="7"/>
        <v>8.737899293009832E-12</v>
      </c>
      <c r="AD26" s="18">
        <f t="shared" si="8"/>
        <v>3.2401420161812879</v>
      </c>
      <c r="AE26">
        <v>623.67765716487497</v>
      </c>
      <c r="AF26">
        <v>1255.1340568616499</v>
      </c>
      <c r="AG26">
        <v>0</v>
      </c>
      <c r="AH26">
        <v>623.67765716487497</v>
      </c>
      <c r="AI26">
        <v>1255.1340568616499</v>
      </c>
      <c r="AJ26">
        <v>102.362204724409</v>
      </c>
      <c r="AK26" t="s">
        <v>85</v>
      </c>
      <c r="AL26">
        <v>2</v>
      </c>
      <c r="AM26">
        <v>623.67765716487497</v>
      </c>
      <c r="AN26">
        <v>1255.1340568616499</v>
      </c>
      <c r="AO26">
        <v>102.362204724409</v>
      </c>
      <c r="AP26">
        <v>623.67765716453096</v>
      </c>
      <c r="AQ26">
        <v>1127.5694105553</v>
      </c>
      <c r="AR26">
        <v>102.362204724409</v>
      </c>
      <c r="AS26" t="s">
        <v>85</v>
      </c>
      <c r="AT26">
        <v>2</v>
      </c>
      <c r="AU26">
        <v>623.67765716453096</v>
      </c>
      <c r="AV26">
        <v>1127.5694105553</v>
      </c>
      <c r="AW26">
        <v>102.362204724409</v>
      </c>
      <c r="AX26">
        <v>623.67765716453096</v>
      </c>
      <c r="AY26">
        <v>1127.5694105553</v>
      </c>
      <c r="AZ26">
        <v>0</v>
      </c>
      <c r="BA26" t="s">
        <v>86</v>
      </c>
      <c r="BB26">
        <v>0</v>
      </c>
      <c r="BC26">
        <v>0</v>
      </c>
    </row>
    <row r="27" spans="2:55" x14ac:dyDescent="0.3">
      <c r="V27" s="18" t="str">
        <f t="shared" si="0"/>
        <v/>
      </c>
      <c r="W27" s="18" t="str">
        <f t="shared" si="1"/>
        <v/>
      </c>
      <c r="X27" s="18" t="str">
        <f t="shared" si="2"/>
        <v/>
      </c>
      <c r="Y27" s="18" t="str">
        <f t="shared" si="3"/>
        <v/>
      </c>
      <c r="Z27" s="20" t="str">
        <f t="shared" si="4"/>
        <v/>
      </c>
      <c r="AA27" s="18" t="str">
        <f t="shared" si="5"/>
        <v/>
      </c>
      <c r="AB27" s="17" t="str">
        <f t="shared" si="6"/>
        <v/>
      </c>
      <c r="AC27" s="18" t="str">
        <f t="shared" si="7"/>
        <v/>
      </c>
      <c r="AD27" s="18" t="str">
        <f t="shared" si="8"/>
        <v/>
      </c>
    </row>
    <row r="28" spans="2:55" x14ac:dyDescent="0.3"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L28" t="s">
        <v>73</v>
      </c>
      <c r="M28" t="s">
        <v>74</v>
      </c>
      <c r="N28" t="s">
        <v>75</v>
      </c>
      <c r="O28" t="s">
        <v>76</v>
      </c>
      <c r="P28" t="s">
        <v>77</v>
      </c>
      <c r="Q28" t="s">
        <v>78</v>
      </c>
      <c r="R28" t="s">
        <v>79</v>
      </c>
      <c r="S28" t="s">
        <v>80</v>
      </c>
      <c r="T28" t="s">
        <v>81</v>
      </c>
      <c r="V28" s="18" t="str">
        <f t="shared" si="0"/>
        <v/>
      </c>
      <c r="W28" s="18" t="str">
        <f t="shared" si="1"/>
        <v/>
      </c>
      <c r="X28" s="18" t="str">
        <f t="shared" si="2"/>
        <v/>
      </c>
      <c r="Y28" s="18" t="str">
        <f t="shared" si="3"/>
        <v/>
      </c>
      <c r="Z28" s="20" t="str">
        <f t="shared" si="4"/>
        <v/>
      </c>
      <c r="AA28" s="18" t="str">
        <f t="shared" si="5"/>
        <v/>
      </c>
      <c r="AB28" s="17" t="str">
        <f t="shared" si="6"/>
        <v/>
      </c>
      <c r="AC28" s="18" t="str">
        <f t="shared" si="7"/>
        <v/>
      </c>
      <c r="AD28" s="18" t="str">
        <f t="shared" si="8"/>
        <v/>
      </c>
    </row>
    <row r="29" spans="2:55" x14ac:dyDescent="0.3">
      <c r="B29" t="s">
        <v>39</v>
      </c>
      <c r="C29" t="s">
        <v>87</v>
      </c>
      <c r="D29">
        <v>4</v>
      </c>
      <c r="E29">
        <v>875.96321533667503</v>
      </c>
      <c r="F29">
        <v>1127.5694105570401</v>
      </c>
      <c r="G29">
        <v>102.362204724409</v>
      </c>
      <c r="H29" t="s">
        <v>83</v>
      </c>
      <c r="I29">
        <v>675.17762659789003</v>
      </c>
      <c r="J29">
        <v>1127.5694105561599</v>
      </c>
      <c r="K29">
        <v>102.362204724409</v>
      </c>
      <c r="L29" t="s">
        <v>83</v>
      </c>
      <c r="M29">
        <v>675.17762659789003</v>
      </c>
      <c r="N29">
        <v>1127.5694105561599</v>
      </c>
      <c r="O29">
        <v>0</v>
      </c>
      <c r="P29" t="s">
        <v>84</v>
      </c>
      <c r="Q29">
        <v>875.96321533667503</v>
      </c>
      <c r="R29">
        <v>1127.5694105570401</v>
      </c>
      <c r="S29">
        <v>0</v>
      </c>
      <c r="T29" t="s">
        <v>84</v>
      </c>
      <c r="U29" t="s">
        <v>85</v>
      </c>
      <c r="V29" s="18">
        <f t="shared" si="0"/>
        <v>22.249465669551544</v>
      </c>
      <c r="W29" s="18">
        <f t="shared" si="1"/>
        <v>28.640263028148816</v>
      </c>
      <c r="X29" s="18">
        <f t="shared" si="2"/>
        <v>17.149511715586407</v>
      </c>
      <c r="Y29" s="18">
        <f t="shared" si="3"/>
        <v>28.640263028126462</v>
      </c>
      <c r="Z29" s="20">
        <f t="shared" si="4"/>
        <v>5.0999539539651373</v>
      </c>
      <c r="AA29" s="18">
        <f t="shared" si="5"/>
        <v>0.25</v>
      </c>
      <c r="AB29" s="17" t="str">
        <f t="shared" si="6"/>
        <v>PJ2</v>
      </c>
      <c r="AC29" s="18">
        <f t="shared" si="7"/>
        <v>5.0999539539651373</v>
      </c>
      <c r="AD29" s="18">
        <f t="shared" si="8"/>
        <v>2.2353674467012752E-11</v>
      </c>
      <c r="AE29">
        <v>675.17762659789003</v>
      </c>
      <c r="AF29">
        <v>1127.5694105561599</v>
      </c>
      <c r="AG29">
        <v>0</v>
      </c>
      <c r="AH29">
        <v>675.17762659789003</v>
      </c>
      <c r="AI29">
        <v>1127.5694105561599</v>
      </c>
      <c r="AJ29">
        <v>102.362204724409</v>
      </c>
      <c r="AK29" t="s">
        <v>85</v>
      </c>
      <c r="AL29">
        <v>2</v>
      </c>
      <c r="AM29">
        <v>675.17762659789003</v>
      </c>
      <c r="AN29">
        <v>1127.5694105561599</v>
      </c>
      <c r="AO29">
        <v>102.362204724409</v>
      </c>
      <c r="AP29">
        <v>875.96321533667503</v>
      </c>
      <c r="AQ29">
        <v>1127.5694105570401</v>
      </c>
      <c r="AR29">
        <v>102.362204724409</v>
      </c>
      <c r="AS29" t="s">
        <v>85</v>
      </c>
      <c r="AT29">
        <v>2</v>
      </c>
      <c r="AU29">
        <v>875.96321533667503</v>
      </c>
      <c r="AV29">
        <v>1127.5694105570401</v>
      </c>
      <c r="AW29">
        <v>102.362204724409</v>
      </c>
      <c r="AX29">
        <v>875.96321533667503</v>
      </c>
      <c r="AY29">
        <v>1127.5694105570401</v>
      </c>
      <c r="AZ29">
        <v>0</v>
      </c>
      <c r="BA29" t="s">
        <v>86</v>
      </c>
      <c r="BB29">
        <v>0</v>
      </c>
      <c r="BC29">
        <v>0</v>
      </c>
    </row>
    <row r="30" spans="2:55" x14ac:dyDescent="0.3">
      <c r="V30" s="18" t="str">
        <f t="shared" si="0"/>
        <v/>
      </c>
      <c r="W30" s="18" t="str">
        <f t="shared" si="1"/>
        <v/>
      </c>
      <c r="X30" s="18" t="str">
        <f t="shared" si="2"/>
        <v/>
      </c>
      <c r="Y30" s="18" t="str">
        <f t="shared" si="3"/>
        <v/>
      </c>
      <c r="Z30" s="20" t="str">
        <f t="shared" si="4"/>
        <v/>
      </c>
      <c r="AA30" s="18" t="str">
        <f t="shared" si="5"/>
        <v/>
      </c>
      <c r="AB30" s="17" t="str">
        <f t="shared" si="6"/>
        <v/>
      </c>
      <c r="AC30" s="18" t="str">
        <f t="shared" si="7"/>
        <v/>
      </c>
      <c r="AD30" s="18" t="str">
        <f t="shared" si="8"/>
        <v/>
      </c>
    </row>
    <row r="31" spans="2:55" x14ac:dyDescent="0.3">
      <c r="B31" t="s">
        <v>63</v>
      </c>
      <c r="C31" t="s">
        <v>64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72</v>
      </c>
      <c r="L31" t="s">
        <v>73</v>
      </c>
      <c r="M31" t="s">
        <v>74</v>
      </c>
      <c r="N31" t="s">
        <v>75</v>
      </c>
      <c r="O31" t="s">
        <v>76</v>
      </c>
      <c r="P31" t="s">
        <v>77</v>
      </c>
      <c r="Q31" t="s">
        <v>78</v>
      </c>
      <c r="R31" t="s">
        <v>79</v>
      </c>
      <c r="S31" t="s">
        <v>80</v>
      </c>
      <c r="T31" t="s">
        <v>81</v>
      </c>
      <c r="V31" s="18" t="str">
        <f t="shared" si="0"/>
        <v/>
      </c>
      <c r="W31" s="18" t="str">
        <f t="shared" si="1"/>
        <v/>
      </c>
      <c r="X31" s="18" t="str">
        <f t="shared" si="2"/>
        <v/>
      </c>
      <c r="Y31" s="18" t="str">
        <f t="shared" si="3"/>
        <v/>
      </c>
      <c r="Z31" s="20" t="str">
        <f t="shared" si="4"/>
        <v/>
      </c>
      <c r="AA31" s="18" t="str">
        <f t="shared" si="5"/>
        <v/>
      </c>
      <c r="AB31" s="17" t="str">
        <f t="shared" si="6"/>
        <v/>
      </c>
      <c r="AC31" s="18" t="str">
        <f t="shared" si="7"/>
        <v/>
      </c>
      <c r="AD31" s="18" t="str">
        <f t="shared" si="8"/>
        <v/>
      </c>
    </row>
    <row r="32" spans="2:55" x14ac:dyDescent="0.3">
      <c r="B32" t="s">
        <v>38</v>
      </c>
      <c r="C32" t="s">
        <v>87</v>
      </c>
      <c r="D32">
        <v>4</v>
      </c>
      <c r="E32">
        <v>875.96321533667594</v>
      </c>
      <c r="F32">
        <v>1065.76602688811</v>
      </c>
      <c r="G32">
        <v>102.362204724409</v>
      </c>
      <c r="H32" t="s">
        <v>83</v>
      </c>
      <c r="I32">
        <v>875.96321533667503</v>
      </c>
      <c r="J32">
        <v>1127.5694105570401</v>
      </c>
      <c r="K32">
        <v>102.362204724409</v>
      </c>
      <c r="L32" t="s">
        <v>83</v>
      </c>
      <c r="M32">
        <v>875.96321533667503</v>
      </c>
      <c r="N32">
        <v>1127.5694105570401</v>
      </c>
      <c r="O32">
        <v>0</v>
      </c>
      <c r="P32" t="s">
        <v>84</v>
      </c>
      <c r="Q32">
        <v>875.96321533667594</v>
      </c>
      <c r="R32">
        <v>1065.76602688811</v>
      </c>
      <c r="S32">
        <v>0</v>
      </c>
      <c r="T32" t="s">
        <v>84</v>
      </c>
      <c r="U32" t="s">
        <v>85</v>
      </c>
      <c r="V32" s="18">
        <f t="shared" si="0"/>
        <v>22.249465669551569</v>
      </c>
      <c r="W32" s="18">
        <f t="shared" si="1"/>
        <v>27.070457082957994</v>
      </c>
      <c r="X32" s="18">
        <f t="shared" si="2"/>
        <v>22.249465669551544</v>
      </c>
      <c r="Y32" s="18">
        <f t="shared" si="3"/>
        <v>28.640263028148816</v>
      </c>
      <c r="Z32" s="20">
        <f t="shared" si="4"/>
        <v>1.5698059451908222</v>
      </c>
      <c r="AA32" s="18">
        <f t="shared" si="5"/>
        <v>0.25</v>
      </c>
      <c r="AB32" s="17" t="str">
        <f t="shared" si="6"/>
        <v>PL-J-11</v>
      </c>
      <c r="AC32" s="18">
        <f t="shared" si="7"/>
        <v>2.4868995751603507E-14</v>
      </c>
      <c r="AD32" s="18">
        <f t="shared" si="8"/>
        <v>1.5698059451908222</v>
      </c>
      <c r="AE32">
        <v>875.96321533667503</v>
      </c>
      <c r="AF32">
        <v>1127.5694105570401</v>
      </c>
      <c r="AG32">
        <v>0</v>
      </c>
      <c r="AH32">
        <v>875.96321533667503</v>
      </c>
      <c r="AI32">
        <v>1127.5694105570401</v>
      </c>
      <c r="AJ32">
        <v>102.362204724409</v>
      </c>
      <c r="AK32" t="s">
        <v>85</v>
      </c>
      <c r="AL32">
        <v>2</v>
      </c>
      <c r="AM32">
        <v>875.96321533667503</v>
      </c>
      <c r="AN32">
        <v>1127.5694105570401</v>
      </c>
      <c r="AO32">
        <v>102.362204724409</v>
      </c>
      <c r="AP32">
        <v>875.96321533667594</v>
      </c>
      <c r="AQ32">
        <v>1065.76602688811</v>
      </c>
      <c r="AR32">
        <v>102.362204724409</v>
      </c>
      <c r="AS32" t="s">
        <v>85</v>
      </c>
      <c r="AT32">
        <v>2</v>
      </c>
      <c r="AU32">
        <v>875.96321533667594</v>
      </c>
      <c r="AV32">
        <v>1065.76602688811</v>
      </c>
      <c r="AW32">
        <v>102.362204724409</v>
      </c>
      <c r="AX32">
        <v>875.96321533667594</v>
      </c>
      <c r="AY32">
        <v>1065.76602688811</v>
      </c>
      <c r="AZ32">
        <v>0</v>
      </c>
      <c r="BA32" t="s">
        <v>86</v>
      </c>
      <c r="BB32">
        <v>0</v>
      </c>
      <c r="BC32">
        <v>0</v>
      </c>
    </row>
    <row r="33" spans="2:55" x14ac:dyDescent="0.3">
      <c r="B33" t="s">
        <v>38</v>
      </c>
      <c r="C33" t="s">
        <v>87</v>
      </c>
      <c r="D33">
        <v>4</v>
      </c>
      <c r="E33">
        <v>875.96321533667503</v>
      </c>
      <c r="F33">
        <v>1127.5694105570401</v>
      </c>
      <c r="G33">
        <v>102.362204724409</v>
      </c>
      <c r="H33" t="s">
        <v>83</v>
      </c>
      <c r="I33">
        <v>875.96321533667503</v>
      </c>
      <c r="J33">
        <v>1259.07106473466</v>
      </c>
      <c r="K33">
        <v>102.362204724409</v>
      </c>
      <c r="L33" t="s">
        <v>83</v>
      </c>
      <c r="M33">
        <v>875.96321533667503</v>
      </c>
      <c r="N33">
        <v>1259.07106473466</v>
      </c>
      <c r="O33">
        <v>0</v>
      </c>
      <c r="P33" t="s">
        <v>84</v>
      </c>
      <c r="Q33">
        <v>875.96321533667503</v>
      </c>
      <c r="R33">
        <v>1127.5694105570401</v>
      </c>
      <c r="S33">
        <v>0</v>
      </c>
      <c r="T33" t="s">
        <v>84</v>
      </c>
      <c r="U33" t="s">
        <v>85</v>
      </c>
      <c r="V33" s="18">
        <f t="shared" si="0"/>
        <v>22.249465669551544</v>
      </c>
      <c r="W33" s="18">
        <f t="shared" si="1"/>
        <v>28.640263028148816</v>
      </c>
      <c r="X33" s="18">
        <f t="shared" si="2"/>
        <v>22.249465669551544</v>
      </c>
      <c r="Y33" s="18">
        <f t="shared" si="3"/>
        <v>31.980405044260362</v>
      </c>
      <c r="Z33" s="20">
        <f t="shared" si="4"/>
        <v>3.340142016111546</v>
      </c>
      <c r="AA33" s="18">
        <f t="shared" si="5"/>
        <v>0.25</v>
      </c>
      <c r="AB33" s="17" t="str">
        <f t="shared" si="6"/>
        <v>PL-J-11</v>
      </c>
      <c r="AC33" s="18">
        <f t="shared" si="7"/>
        <v>0</v>
      </c>
      <c r="AD33" s="18">
        <f t="shared" si="8"/>
        <v>3.340142016111546</v>
      </c>
      <c r="AE33">
        <v>875.96321533667503</v>
      </c>
      <c r="AF33">
        <v>1259.07106473466</v>
      </c>
      <c r="AG33">
        <v>0</v>
      </c>
      <c r="AH33">
        <v>875.96321533667503</v>
      </c>
      <c r="AI33">
        <v>1259.07106473466</v>
      </c>
      <c r="AJ33">
        <v>102.362204724409</v>
      </c>
      <c r="AK33" t="s">
        <v>85</v>
      </c>
      <c r="AL33">
        <v>2</v>
      </c>
      <c r="AM33">
        <v>875.96321533667503</v>
      </c>
      <c r="AN33">
        <v>1259.07106473466</v>
      </c>
      <c r="AO33">
        <v>102.362204724409</v>
      </c>
      <c r="AP33">
        <v>875.96321533667503</v>
      </c>
      <c r="AQ33">
        <v>1127.5694105570401</v>
      </c>
      <c r="AR33">
        <v>102.362204724409</v>
      </c>
      <c r="AS33" t="s">
        <v>85</v>
      </c>
      <c r="AT33">
        <v>2</v>
      </c>
      <c r="AU33">
        <v>875.96321533667503</v>
      </c>
      <c r="AV33">
        <v>1127.5694105570401</v>
      </c>
      <c r="AW33">
        <v>102.362204724409</v>
      </c>
      <c r="AX33">
        <v>875.96321533667503</v>
      </c>
      <c r="AY33">
        <v>1127.5694105570401</v>
      </c>
      <c r="AZ33">
        <v>0</v>
      </c>
      <c r="BA33" t="s">
        <v>86</v>
      </c>
      <c r="BB33">
        <v>0</v>
      </c>
      <c r="BC33">
        <v>0</v>
      </c>
    </row>
    <row r="34" spans="2:55" x14ac:dyDescent="0.3">
      <c r="V34" s="18" t="str">
        <f t="shared" si="0"/>
        <v/>
      </c>
      <c r="W34" s="18" t="str">
        <f t="shared" si="1"/>
        <v/>
      </c>
      <c r="X34" s="18" t="str">
        <f t="shared" si="2"/>
        <v/>
      </c>
      <c r="Y34" s="18" t="str">
        <f t="shared" si="3"/>
        <v/>
      </c>
      <c r="Z34" s="20" t="str">
        <f t="shared" si="4"/>
        <v/>
      </c>
      <c r="AA34" s="18" t="str">
        <f t="shared" si="5"/>
        <v/>
      </c>
      <c r="AB34" s="17" t="str">
        <f t="shared" si="6"/>
        <v/>
      </c>
      <c r="AC34" s="18" t="str">
        <f t="shared" si="7"/>
        <v/>
      </c>
      <c r="AD34" s="18" t="str">
        <f t="shared" si="8"/>
        <v/>
      </c>
    </row>
    <row r="35" spans="2:55" x14ac:dyDescent="0.3">
      <c r="B35" t="s">
        <v>63</v>
      </c>
      <c r="C35" t="s">
        <v>64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  <c r="M35" t="s">
        <v>74</v>
      </c>
      <c r="N35" t="s">
        <v>75</v>
      </c>
      <c r="O35" t="s">
        <v>76</v>
      </c>
      <c r="P35" t="s">
        <v>77</v>
      </c>
      <c r="Q35" t="s">
        <v>78</v>
      </c>
      <c r="R35" t="s">
        <v>79</v>
      </c>
      <c r="S35" t="s">
        <v>80</v>
      </c>
      <c r="T35" t="s">
        <v>81</v>
      </c>
      <c r="V35" s="18" t="str">
        <f t="shared" si="0"/>
        <v/>
      </c>
      <c r="W35" s="18" t="str">
        <f t="shared" si="1"/>
        <v/>
      </c>
      <c r="X35" s="18" t="str">
        <f t="shared" si="2"/>
        <v/>
      </c>
      <c r="Y35" s="18" t="str">
        <f t="shared" si="3"/>
        <v/>
      </c>
      <c r="Z35" s="20" t="str">
        <f t="shared" si="4"/>
        <v/>
      </c>
      <c r="AA35" s="18" t="str">
        <f t="shared" si="5"/>
        <v/>
      </c>
      <c r="AB35" s="17" t="str">
        <f t="shared" si="6"/>
        <v/>
      </c>
      <c r="AC35" s="18" t="str">
        <f t="shared" si="7"/>
        <v/>
      </c>
      <c r="AD35" s="18" t="str">
        <f t="shared" si="8"/>
        <v/>
      </c>
    </row>
    <row r="36" spans="2:55" x14ac:dyDescent="0.3">
      <c r="B36" t="s">
        <v>41</v>
      </c>
      <c r="C36" t="s">
        <v>87</v>
      </c>
      <c r="D36">
        <v>4</v>
      </c>
      <c r="E36">
        <v>389.42236271943602</v>
      </c>
      <c r="F36">
        <v>1004.9146061589601</v>
      </c>
      <c r="G36">
        <v>102.362204724409</v>
      </c>
      <c r="H36" t="s">
        <v>83</v>
      </c>
      <c r="I36">
        <v>488.681223095593</v>
      </c>
      <c r="J36">
        <v>1004.9146061585</v>
      </c>
      <c r="K36">
        <v>102.362204724409</v>
      </c>
      <c r="L36" t="s">
        <v>83</v>
      </c>
      <c r="M36">
        <v>488.681223095593</v>
      </c>
      <c r="N36">
        <v>1004.9146061585</v>
      </c>
      <c r="O36">
        <v>0</v>
      </c>
      <c r="P36" t="s">
        <v>84</v>
      </c>
      <c r="Q36">
        <v>389.42236271943602</v>
      </c>
      <c r="R36">
        <v>1004.9146061589601</v>
      </c>
      <c r="S36">
        <v>0</v>
      </c>
      <c r="T36" t="s">
        <v>84</v>
      </c>
      <c r="U36" t="s">
        <v>85</v>
      </c>
      <c r="V36" s="18">
        <f t="shared" si="0"/>
        <v>9.8913280130736752</v>
      </c>
      <c r="W36" s="18">
        <f t="shared" si="1"/>
        <v>25.524830996437583</v>
      </c>
      <c r="X36" s="18">
        <f t="shared" si="2"/>
        <v>12.412503066628062</v>
      </c>
      <c r="Y36" s="18">
        <f t="shared" si="3"/>
        <v>25.524830996425898</v>
      </c>
      <c r="Z36" s="20">
        <f t="shared" si="4"/>
        <v>2.5211750535543871</v>
      </c>
      <c r="AA36" s="18">
        <f t="shared" si="5"/>
        <v>0.25</v>
      </c>
      <c r="AB36" s="17" t="str">
        <f t="shared" si="6"/>
        <v>PJ1</v>
      </c>
      <c r="AC36" s="18">
        <f t="shared" si="7"/>
        <v>2.5211750535543871</v>
      </c>
      <c r="AD36" s="18">
        <f t="shared" si="8"/>
        <v>1.1684875289574848E-11</v>
      </c>
      <c r="AE36">
        <v>488.681223095593</v>
      </c>
      <c r="AF36">
        <v>1004.9146061585</v>
      </c>
      <c r="AG36">
        <v>0</v>
      </c>
      <c r="AH36">
        <v>488.681223095593</v>
      </c>
      <c r="AI36">
        <v>1004.9146061585</v>
      </c>
      <c r="AJ36">
        <v>102.362204724409</v>
      </c>
      <c r="AK36" t="s">
        <v>85</v>
      </c>
      <c r="AL36">
        <v>2</v>
      </c>
      <c r="AM36">
        <v>488.681223095593</v>
      </c>
      <c r="AN36">
        <v>1004.9146061585</v>
      </c>
      <c r="AO36">
        <v>102.362204724409</v>
      </c>
      <c r="AP36">
        <v>389.42236271943602</v>
      </c>
      <c r="AQ36">
        <v>1004.9146061589601</v>
      </c>
      <c r="AR36">
        <v>102.362204724409</v>
      </c>
      <c r="AS36" t="s">
        <v>85</v>
      </c>
      <c r="AT36">
        <v>2</v>
      </c>
      <c r="AU36">
        <v>389.42236271943602</v>
      </c>
      <c r="AV36">
        <v>1004.9146061589601</v>
      </c>
      <c r="AW36">
        <v>102.362204724409</v>
      </c>
      <c r="AX36">
        <v>389.42236271943602</v>
      </c>
      <c r="AY36">
        <v>1004.9146061589601</v>
      </c>
      <c r="AZ36">
        <v>0</v>
      </c>
      <c r="BA36" t="s">
        <v>86</v>
      </c>
      <c r="BB36">
        <v>0</v>
      </c>
      <c r="BC36">
        <v>0</v>
      </c>
    </row>
    <row r="37" spans="2:55" x14ac:dyDescent="0.3">
      <c r="V37" s="18" t="str">
        <f t="shared" si="0"/>
        <v/>
      </c>
      <c r="W37" s="18" t="str">
        <f t="shared" si="1"/>
        <v/>
      </c>
      <c r="X37" s="18" t="str">
        <f t="shared" si="2"/>
        <v/>
      </c>
      <c r="Y37" s="18" t="str">
        <f t="shared" si="3"/>
        <v/>
      </c>
      <c r="Z37" s="20" t="str">
        <f t="shared" si="4"/>
        <v/>
      </c>
      <c r="AA37" s="18" t="str">
        <f t="shared" si="5"/>
        <v/>
      </c>
      <c r="AB37" s="17" t="str">
        <f t="shared" si="6"/>
        <v/>
      </c>
      <c r="AC37" s="18" t="str">
        <f t="shared" si="7"/>
        <v/>
      </c>
      <c r="AD37" s="18" t="str">
        <f t="shared" si="8"/>
        <v/>
      </c>
    </row>
    <row r="38" spans="2:55" x14ac:dyDescent="0.3">
      <c r="B38" t="s">
        <v>63</v>
      </c>
      <c r="C38" t="s">
        <v>64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72</v>
      </c>
      <c r="L38" t="s">
        <v>73</v>
      </c>
      <c r="M38" t="s">
        <v>74</v>
      </c>
      <c r="N38" t="s">
        <v>75</v>
      </c>
      <c r="O38" t="s">
        <v>76</v>
      </c>
      <c r="P38" t="s">
        <v>77</v>
      </c>
      <c r="Q38" t="s">
        <v>78</v>
      </c>
      <c r="R38" t="s">
        <v>79</v>
      </c>
      <c r="S38" t="s">
        <v>80</v>
      </c>
      <c r="T38" t="s">
        <v>81</v>
      </c>
      <c r="V38" s="18" t="str">
        <f t="shared" si="0"/>
        <v/>
      </c>
      <c r="W38" s="18" t="str">
        <f t="shared" si="1"/>
        <v/>
      </c>
      <c r="X38" s="18" t="str">
        <f t="shared" si="2"/>
        <v/>
      </c>
      <c r="Y38" s="18" t="str">
        <f t="shared" si="3"/>
        <v/>
      </c>
      <c r="Z38" s="20" t="str">
        <f t="shared" si="4"/>
        <v/>
      </c>
      <c r="AA38" s="18" t="str">
        <f t="shared" si="5"/>
        <v/>
      </c>
      <c r="AB38" s="17" t="str">
        <f t="shared" si="6"/>
        <v/>
      </c>
      <c r="AC38" s="18" t="str">
        <f t="shared" si="7"/>
        <v/>
      </c>
      <c r="AD38" s="18" t="str">
        <f t="shared" si="8"/>
        <v/>
      </c>
    </row>
    <row r="39" spans="2:55" x14ac:dyDescent="0.3">
      <c r="B39" t="s">
        <v>42</v>
      </c>
      <c r="C39" t="s">
        <v>87</v>
      </c>
      <c r="D39">
        <v>4</v>
      </c>
      <c r="E39">
        <v>594.14677216810901</v>
      </c>
      <c r="F39">
        <v>901.98649931769603</v>
      </c>
      <c r="G39">
        <v>102.362204724409</v>
      </c>
      <c r="H39" t="s">
        <v>83</v>
      </c>
      <c r="I39">
        <v>389.42236271982199</v>
      </c>
      <c r="J39">
        <v>901.98649931769</v>
      </c>
      <c r="K39">
        <v>102.362204724409</v>
      </c>
      <c r="L39" t="s">
        <v>83</v>
      </c>
      <c r="M39">
        <v>389.42236271982199</v>
      </c>
      <c r="N39">
        <v>901.98649931769</v>
      </c>
      <c r="O39">
        <v>0</v>
      </c>
      <c r="P39" t="s">
        <v>84</v>
      </c>
      <c r="Q39">
        <v>594.14677216810901</v>
      </c>
      <c r="R39">
        <v>901.98649931769603</v>
      </c>
      <c r="S39">
        <v>0</v>
      </c>
      <c r="T39" t="s">
        <v>84</v>
      </c>
      <c r="U39" t="s">
        <v>85</v>
      </c>
      <c r="V39" s="18">
        <f t="shared" si="0"/>
        <v>15.091328013069969</v>
      </c>
      <c r="W39" s="18">
        <f t="shared" si="1"/>
        <v>22.910457082669478</v>
      </c>
      <c r="X39" s="18">
        <f t="shared" si="2"/>
        <v>9.8913280130834789</v>
      </c>
      <c r="Y39" s="18">
        <f t="shared" si="3"/>
        <v>22.910457082669325</v>
      </c>
      <c r="Z39" s="20">
        <f t="shared" si="4"/>
        <v>5.1999999999864901</v>
      </c>
      <c r="AA39" s="18">
        <f t="shared" si="5"/>
        <v>0.25</v>
      </c>
      <c r="AB39" s="17" t="str">
        <f t="shared" si="6"/>
        <v>PI</v>
      </c>
      <c r="AC39" s="18">
        <f t="shared" si="7"/>
        <v>5.1999999999864901</v>
      </c>
      <c r="AD39" s="18">
        <f t="shared" si="8"/>
        <v>1.5276668818842154E-13</v>
      </c>
      <c r="AE39">
        <v>389.42236271982199</v>
      </c>
      <c r="AF39">
        <v>901.98649931769</v>
      </c>
      <c r="AG39">
        <v>0</v>
      </c>
      <c r="AH39">
        <v>389.42236271982199</v>
      </c>
      <c r="AI39">
        <v>901.98649931769</v>
      </c>
      <c r="AJ39">
        <v>102.362204724409</v>
      </c>
      <c r="AK39" t="s">
        <v>85</v>
      </c>
      <c r="AL39">
        <v>2</v>
      </c>
      <c r="AM39">
        <v>389.42236271982199</v>
      </c>
      <c r="AN39">
        <v>901.98649931769</v>
      </c>
      <c r="AO39">
        <v>102.362204724409</v>
      </c>
      <c r="AP39">
        <v>594.14677216810901</v>
      </c>
      <c r="AQ39">
        <v>901.98649931769603</v>
      </c>
      <c r="AR39">
        <v>102.362204724409</v>
      </c>
      <c r="AS39" t="s">
        <v>85</v>
      </c>
      <c r="AT39">
        <v>2</v>
      </c>
      <c r="AU39">
        <v>594.14677216810901</v>
      </c>
      <c r="AV39">
        <v>901.98649931769603</v>
      </c>
      <c r="AW39">
        <v>102.362204724409</v>
      </c>
      <c r="AX39">
        <v>594.14677216810901</v>
      </c>
      <c r="AY39">
        <v>901.98649931769603</v>
      </c>
      <c r="AZ39">
        <v>0</v>
      </c>
      <c r="BA39" t="s">
        <v>86</v>
      </c>
      <c r="BB39">
        <v>0</v>
      </c>
      <c r="BC39">
        <v>0</v>
      </c>
    </row>
    <row r="40" spans="2:55" x14ac:dyDescent="0.3">
      <c r="V40" s="18" t="str">
        <f t="shared" si="0"/>
        <v/>
      </c>
      <c r="W40" s="18" t="str">
        <f t="shared" si="1"/>
        <v/>
      </c>
      <c r="X40" s="18" t="str">
        <f t="shared" si="2"/>
        <v/>
      </c>
      <c r="Y40" s="18" t="str">
        <f t="shared" si="3"/>
        <v/>
      </c>
      <c r="Z40" s="20" t="str">
        <f t="shared" si="4"/>
        <v/>
      </c>
      <c r="AA40" s="18" t="str">
        <f t="shared" si="5"/>
        <v/>
      </c>
      <c r="AB40" s="17" t="str">
        <f t="shared" si="6"/>
        <v/>
      </c>
      <c r="AC40" s="18" t="str">
        <f t="shared" si="7"/>
        <v/>
      </c>
      <c r="AD40" s="18" t="str">
        <f t="shared" si="8"/>
        <v/>
      </c>
    </row>
    <row r="41" spans="2:55" x14ac:dyDescent="0.3">
      <c r="B41" t="s">
        <v>63</v>
      </c>
      <c r="C41" t="s">
        <v>64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72</v>
      </c>
      <c r="L41" t="s">
        <v>73</v>
      </c>
      <c r="M41" t="s">
        <v>74</v>
      </c>
      <c r="N41" t="s">
        <v>75</v>
      </c>
      <c r="O41" t="s">
        <v>76</v>
      </c>
      <c r="P41" t="s">
        <v>77</v>
      </c>
      <c r="Q41" t="s">
        <v>78</v>
      </c>
      <c r="R41" t="s">
        <v>79</v>
      </c>
      <c r="S41" t="s">
        <v>80</v>
      </c>
      <c r="T41" t="s">
        <v>81</v>
      </c>
      <c r="V41" s="18" t="str">
        <f t="shared" si="0"/>
        <v/>
      </c>
      <c r="W41" s="18" t="str">
        <f t="shared" si="1"/>
        <v/>
      </c>
      <c r="X41" s="18" t="str">
        <f t="shared" si="2"/>
        <v/>
      </c>
      <c r="Y41" s="18" t="str">
        <f t="shared" si="3"/>
        <v/>
      </c>
      <c r="Z41" s="20" t="str">
        <f t="shared" si="4"/>
        <v/>
      </c>
      <c r="AA41" s="18" t="str">
        <f t="shared" si="5"/>
        <v/>
      </c>
      <c r="AB41" s="17" t="str">
        <f t="shared" si="6"/>
        <v/>
      </c>
      <c r="AC41" s="18" t="str">
        <f t="shared" si="7"/>
        <v/>
      </c>
      <c r="AD41" s="18" t="str">
        <f t="shared" si="8"/>
        <v/>
      </c>
    </row>
    <row r="42" spans="2:55" x14ac:dyDescent="0.3">
      <c r="B42" t="s">
        <v>43</v>
      </c>
      <c r="C42" t="s">
        <v>87</v>
      </c>
      <c r="D42">
        <v>4</v>
      </c>
      <c r="E42">
        <v>594.14677216828397</v>
      </c>
      <c r="F42">
        <v>936.23846781179702</v>
      </c>
      <c r="G42">
        <v>102.362204724409</v>
      </c>
      <c r="H42" t="s">
        <v>83</v>
      </c>
      <c r="I42">
        <v>594.14677216828397</v>
      </c>
      <c r="J42">
        <v>841.75027884533904</v>
      </c>
      <c r="K42">
        <v>102.362204724409</v>
      </c>
      <c r="L42" t="s">
        <v>83</v>
      </c>
      <c r="M42">
        <v>594.14677216828397</v>
      </c>
      <c r="N42">
        <v>841.75027884533904</v>
      </c>
      <c r="O42">
        <v>0</v>
      </c>
      <c r="P42" t="s">
        <v>84</v>
      </c>
      <c r="Q42">
        <v>594.14677216828397</v>
      </c>
      <c r="R42">
        <v>936.23846781179702</v>
      </c>
      <c r="S42">
        <v>0</v>
      </c>
      <c r="T42" t="s">
        <v>84</v>
      </c>
      <c r="U42" t="s">
        <v>85</v>
      </c>
      <c r="V42" s="18">
        <f t="shared" si="0"/>
        <v>15.091328013074412</v>
      </c>
      <c r="W42" s="18">
        <f t="shared" si="1"/>
        <v>23.780457082419645</v>
      </c>
      <c r="X42" s="18">
        <f t="shared" si="2"/>
        <v>15.091328013074412</v>
      </c>
      <c r="Y42" s="18">
        <f t="shared" si="3"/>
        <v>21.380457082671612</v>
      </c>
      <c r="Z42" s="20">
        <f t="shared" si="4"/>
        <v>2.399999999748033</v>
      </c>
      <c r="AA42" s="18">
        <f t="shared" si="5"/>
        <v>0.25</v>
      </c>
      <c r="AB42" s="17" t="str">
        <f t="shared" si="6"/>
        <v>P5</v>
      </c>
      <c r="AC42" s="18">
        <f t="shared" si="7"/>
        <v>0</v>
      </c>
      <c r="AD42" s="18">
        <f t="shared" si="8"/>
        <v>2.399999999748033</v>
      </c>
      <c r="AE42">
        <v>594.14677216828397</v>
      </c>
      <c r="AF42">
        <v>841.75027884533904</v>
      </c>
      <c r="AG42">
        <v>0</v>
      </c>
      <c r="AH42">
        <v>594.14677216828397</v>
      </c>
      <c r="AI42">
        <v>841.75027884533904</v>
      </c>
      <c r="AJ42">
        <v>102.362204724409</v>
      </c>
      <c r="AK42" t="s">
        <v>85</v>
      </c>
      <c r="AL42">
        <v>2</v>
      </c>
      <c r="AM42">
        <v>594.14677216828397</v>
      </c>
      <c r="AN42">
        <v>841.75027884533904</v>
      </c>
      <c r="AO42">
        <v>102.362204724409</v>
      </c>
      <c r="AP42">
        <v>594.14677216828397</v>
      </c>
      <c r="AQ42">
        <v>936.23846781179702</v>
      </c>
      <c r="AR42">
        <v>102.362204724409</v>
      </c>
      <c r="AS42" t="s">
        <v>85</v>
      </c>
      <c r="AT42">
        <v>2</v>
      </c>
      <c r="AU42">
        <v>594.14677216828397</v>
      </c>
      <c r="AV42">
        <v>936.23846781179702</v>
      </c>
      <c r="AW42">
        <v>102.362204724409</v>
      </c>
      <c r="AX42">
        <v>594.14677216828397</v>
      </c>
      <c r="AY42">
        <v>936.23846781179702</v>
      </c>
      <c r="AZ42">
        <v>0</v>
      </c>
      <c r="BA42" t="s">
        <v>86</v>
      </c>
      <c r="BB42">
        <v>0</v>
      </c>
      <c r="BC42">
        <v>0</v>
      </c>
    </row>
    <row r="43" spans="2:55" x14ac:dyDescent="0.3">
      <c r="V43" s="18" t="str">
        <f t="shared" si="0"/>
        <v/>
      </c>
      <c r="W43" s="18" t="str">
        <f t="shared" si="1"/>
        <v/>
      </c>
      <c r="X43" s="18" t="str">
        <f t="shared" si="2"/>
        <v/>
      </c>
      <c r="Y43" s="18" t="str">
        <f t="shared" si="3"/>
        <v/>
      </c>
      <c r="Z43" s="20" t="str">
        <f t="shared" si="4"/>
        <v/>
      </c>
      <c r="AA43" s="18" t="str">
        <f t="shared" si="5"/>
        <v/>
      </c>
      <c r="AB43" s="17" t="str">
        <f t="shared" si="6"/>
        <v/>
      </c>
      <c r="AC43" s="18" t="str">
        <f t="shared" si="7"/>
        <v/>
      </c>
      <c r="AD43" s="18" t="str">
        <f t="shared" si="8"/>
        <v/>
      </c>
    </row>
    <row r="44" spans="2:55" x14ac:dyDescent="0.3">
      <c r="B44" t="s">
        <v>63</v>
      </c>
      <c r="C44" t="s">
        <v>64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73</v>
      </c>
      <c r="M44" t="s">
        <v>74</v>
      </c>
      <c r="N44" t="s">
        <v>75</v>
      </c>
      <c r="O44" t="s">
        <v>76</v>
      </c>
      <c r="P44" t="s">
        <v>77</v>
      </c>
      <c r="Q44" t="s">
        <v>78</v>
      </c>
      <c r="R44" t="s">
        <v>79</v>
      </c>
      <c r="S44" t="s">
        <v>80</v>
      </c>
      <c r="T44" t="s">
        <v>81</v>
      </c>
      <c r="V44" s="18" t="str">
        <f t="shared" si="0"/>
        <v/>
      </c>
      <c r="W44" s="18" t="str">
        <f t="shared" si="1"/>
        <v/>
      </c>
      <c r="X44" s="18" t="str">
        <f t="shared" si="2"/>
        <v/>
      </c>
      <c r="Y44" s="18" t="str">
        <f t="shared" si="3"/>
        <v/>
      </c>
      <c r="Z44" s="20" t="str">
        <f t="shared" si="4"/>
        <v/>
      </c>
      <c r="AA44" s="18" t="str">
        <f t="shared" si="5"/>
        <v/>
      </c>
      <c r="AB44" s="17" t="str">
        <f t="shared" si="6"/>
        <v/>
      </c>
      <c r="AC44" s="18" t="str">
        <f t="shared" si="7"/>
        <v/>
      </c>
      <c r="AD44" s="18" t="str">
        <f t="shared" si="8"/>
        <v/>
      </c>
    </row>
    <row r="45" spans="2:55" x14ac:dyDescent="0.3">
      <c r="B45" t="s">
        <v>44</v>
      </c>
      <c r="C45" t="s">
        <v>87</v>
      </c>
      <c r="D45">
        <v>4</v>
      </c>
      <c r="E45">
        <v>671.24061871875404</v>
      </c>
      <c r="F45">
        <v>914.58492450968299</v>
      </c>
      <c r="G45">
        <v>102.362204724409</v>
      </c>
      <c r="H45" t="s">
        <v>83</v>
      </c>
      <c r="I45">
        <v>657.13889815243397</v>
      </c>
      <c r="J45">
        <v>914.58492450968299</v>
      </c>
      <c r="K45">
        <v>102.362204724409</v>
      </c>
      <c r="L45" t="s">
        <v>83</v>
      </c>
      <c r="M45">
        <v>657.13889815243397</v>
      </c>
      <c r="N45">
        <v>914.58492450968299</v>
      </c>
      <c r="O45">
        <v>0</v>
      </c>
      <c r="P45" t="s">
        <v>84</v>
      </c>
      <c r="Q45">
        <v>671.24061871875404</v>
      </c>
      <c r="R45">
        <v>914.58492450968299</v>
      </c>
      <c r="S45">
        <v>0</v>
      </c>
      <c r="T45" t="s">
        <v>84</v>
      </c>
      <c r="U45" t="s">
        <v>85</v>
      </c>
      <c r="V45" s="18">
        <f t="shared" si="0"/>
        <v>17.049511715456351</v>
      </c>
      <c r="W45" s="18">
        <f t="shared" si="1"/>
        <v>23.230457082545946</v>
      </c>
      <c r="X45" s="18">
        <f t="shared" si="2"/>
        <v>16.691328013071821</v>
      </c>
      <c r="Y45" s="18">
        <f t="shared" si="3"/>
        <v>23.230457082545946</v>
      </c>
      <c r="Z45" s="20">
        <f t="shared" si="4"/>
        <v>0.35818370238452957</v>
      </c>
      <c r="AA45" s="18">
        <f t="shared" si="5"/>
        <v>0.25</v>
      </c>
      <c r="AB45" s="17" t="str">
        <f t="shared" si="6"/>
        <v>PJ</v>
      </c>
      <c r="AC45" s="18">
        <f t="shared" si="7"/>
        <v>0.35818370238452957</v>
      </c>
      <c r="AD45" s="18">
        <f t="shared" si="8"/>
        <v>0</v>
      </c>
      <c r="AE45">
        <v>657.13889815243397</v>
      </c>
      <c r="AF45">
        <v>914.58492450968299</v>
      </c>
      <c r="AG45">
        <v>0</v>
      </c>
      <c r="AH45">
        <v>657.13889815243397</v>
      </c>
      <c r="AI45">
        <v>914.58492450968299</v>
      </c>
      <c r="AJ45">
        <v>102.362204724409</v>
      </c>
      <c r="AK45" t="s">
        <v>85</v>
      </c>
      <c r="AL45">
        <v>2</v>
      </c>
      <c r="AM45">
        <v>657.13889815243397</v>
      </c>
      <c r="AN45">
        <v>914.58492450968299</v>
      </c>
      <c r="AO45">
        <v>102.362204724409</v>
      </c>
      <c r="AP45">
        <v>671.24061871875404</v>
      </c>
      <c r="AQ45">
        <v>914.58492450968299</v>
      </c>
      <c r="AR45">
        <v>102.362204724409</v>
      </c>
      <c r="AS45" t="s">
        <v>85</v>
      </c>
      <c r="AT45">
        <v>2</v>
      </c>
      <c r="AU45">
        <v>671.24061871875404</v>
      </c>
      <c r="AV45">
        <v>914.58492450968299</v>
      </c>
      <c r="AW45">
        <v>102.362204724409</v>
      </c>
      <c r="AX45">
        <v>671.24061871875404</v>
      </c>
      <c r="AY45">
        <v>914.58492450968299</v>
      </c>
      <c r="AZ45">
        <v>0</v>
      </c>
      <c r="BA45" t="s">
        <v>86</v>
      </c>
      <c r="BB45">
        <v>0</v>
      </c>
      <c r="BC45">
        <v>0</v>
      </c>
    </row>
    <row r="46" spans="2:55" x14ac:dyDescent="0.3">
      <c r="B46" t="s">
        <v>44</v>
      </c>
      <c r="C46" t="s">
        <v>87</v>
      </c>
      <c r="D46">
        <v>4</v>
      </c>
      <c r="E46">
        <v>671.24061871875404</v>
      </c>
      <c r="F46">
        <v>914.58492450968299</v>
      </c>
      <c r="G46">
        <v>102.362204724409</v>
      </c>
      <c r="H46" t="s">
        <v>83</v>
      </c>
      <c r="I46">
        <v>875.96321533673904</v>
      </c>
      <c r="J46">
        <v>914.58492450968299</v>
      </c>
      <c r="K46">
        <v>102.362204724409</v>
      </c>
      <c r="L46" t="s">
        <v>83</v>
      </c>
      <c r="M46">
        <v>875.96321533673904</v>
      </c>
      <c r="N46">
        <v>914.58492450968299</v>
      </c>
      <c r="O46">
        <v>0</v>
      </c>
      <c r="P46" t="s">
        <v>84</v>
      </c>
      <c r="Q46">
        <v>671.24061871875404</v>
      </c>
      <c r="R46">
        <v>914.58492450968299</v>
      </c>
      <c r="S46">
        <v>0</v>
      </c>
      <c r="T46" t="s">
        <v>84</v>
      </c>
      <c r="U46" t="s">
        <v>85</v>
      </c>
      <c r="V46" s="18">
        <f t="shared" si="0"/>
        <v>17.049511715456351</v>
      </c>
      <c r="W46" s="18">
        <f t="shared" si="1"/>
        <v>23.230457082545946</v>
      </c>
      <c r="X46" s="18">
        <f t="shared" si="2"/>
        <v>22.249465669553171</v>
      </c>
      <c r="Y46" s="18">
        <f t="shared" si="3"/>
        <v>23.230457082545946</v>
      </c>
      <c r="Z46" s="20">
        <f t="shared" si="4"/>
        <v>5.19995395409682</v>
      </c>
      <c r="AA46" s="18">
        <f t="shared" si="5"/>
        <v>0.25</v>
      </c>
      <c r="AB46" s="17" t="str">
        <f t="shared" si="6"/>
        <v>PJ</v>
      </c>
      <c r="AC46" s="18">
        <f t="shared" si="7"/>
        <v>5.19995395409682</v>
      </c>
      <c r="AD46" s="18">
        <f t="shared" si="8"/>
        <v>0</v>
      </c>
      <c r="AE46">
        <v>875.96321533673904</v>
      </c>
      <c r="AF46">
        <v>914.58492450968299</v>
      </c>
      <c r="AG46">
        <v>0</v>
      </c>
      <c r="AH46">
        <v>875.96321533673904</v>
      </c>
      <c r="AI46">
        <v>914.58492450968299</v>
      </c>
      <c r="AJ46">
        <v>102.362204724409</v>
      </c>
      <c r="AK46" t="s">
        <v>85</v>
      </c>
      <c r="AL46">
        <v>2</v>
      </c>
      <c r="AM46">
        <v>875.96321533673904</v>
      </c>
      <c r="AN46">
        <v>914.58492450968299</v>
      </c>
      <c r="AO46">
        <v>102.362204724409</v>
      </c>
      <c r="AP46">
        <v>671.24061871875404</v>
      </c>
      <c r="AQ46">
        <v>914.58492450968299</v>
      </c>
      <c r="AR46">
        <v>102.362204724409</v>
      </c>
      <c r="AS46" t="s">
        <v>85</v>
      </c>
      <c r="AT46">
        <v>2</v>
      </c>
      <c r="AU46">
        <v>671.24061871875404</v>
      </c>
      <c r="AV46">
        <v>914.58492450968299</v>
      </c>
      <c r="AW46">
        <v>102.362204724409</v>
      </c>
      <c r="AX46">
        <v>671.24061871875404</v>
      </c>
      <c r="AY46">
        <v>914.58492450968299</v>
      </c>
      <c r="AZ46">
        <v>0</v>
      </c>
      <c r="BA46" t="s">
        <v>86</v>
      </c>
      <c r="BB46">
        <v>0</v>
      </c>
      <c r="BC46">
        <v>0</v>
      </c>
    </row>
    <row r="47" spans="2:55" x14ac:dyDescent="0.3">
      <c r="V47" s="18" t="str">
        <f t="shared" si="0"/>
        <v/>
      </c>
      <c r="W47" s="18" t="str">
        <f t="shared" si="1"/>
        <v/>
      </c>
      <c r="X47" s="18" t="str">
        <f t="shared" si="2"/>
        <v/>
      </c>
      <c r="Y47" s="18" t="str">
        <f t="shared" si="3"/>
        <v/>
      </c>
      <c r="Z47" s="20" t="str">
        <f t="shared" si="4"/>
        <v/>
      </c>
      <c r="AA47" s="18" t="str">
        <f t="shared" si="5"/>
        <v/>
      </c>
      <c r="AB47" s="17" t="str">
        <f t="shared" si="6"/>
        <v/>
      </c>
      <c r="AC47" s="18" t="str">
        <f t="shared" si="7"/>
        <v/>
      </c>
      <c r="AD47" s="18" t="str">
        <f t="shared" si="8"/>
        <v/>
      </c>
    </row>
    <row r="48" spans="2:55" x14ac:dyDescent="0.3">
      <c r="B48" t="s">
        <v>63</v>
      </c>
      <c r="C48" t="s">
        <v>64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72</v>
      </c>
      <c r="L48" t="s">
        <v>73</v>
      </c>
      <c r="M48" t="s">
        <v>74</v>
      </c>
      <c r="N48" t="s">
        <v>75</v>
      </c>
      <c r="O48" t="s">
        <v>76</v>
      </c>
      <c r="P48" t="s">
        <v>77</v>
      </c>
      <c r="Q48" t="s">
        <v>78</v>
      </c>
      <c r="R48" t="s">
        <v>79</v>
      </c>
      <c r="S48" t="s">
        <v>80</v>
      </c>
      <c r="T48" t="s">
        <v>81</v>
      </c>
      <c r="V48" s="18" t="str">
        <f t="shared" si="0"/>
        <v/>
      </c>
      <c r="W48" s="18" t="str">
        <f t="shared" si="1"/>
        <v/>
      </c>
      <c r="X48" s="18" t="str">
        <f t="shared" si="2"/>
        <v/>
      </c>
      <c r="Y48" s="18" t="str">
        <f t="shared" si="3"/>
        <v/>
      </c>
      <c r="Z48" s="20" t="str">
        <f t="shared" si="4"/>
        <v/>
      </c>
      <c r="AA48" s="18" t="str">
        <f t="shared" si="5"/>
        <v/>
      </c>
      <c r="AB48" s="17" t="str">
        <f t="shared" si="6"/>
        <v/>
      </c>
      <c r="AC48" s="18" t="str">
        <f t="shared" si="7"/>
        <v/>
      </c>
      <c r="AD48" s="18" t="str">
        <f t="shared" si="8"/>
        <v/>
      </c>
    </row>
    <row r="49" spans="2:55" x14ac:dyDescent="0.3">
      <c r="B49" t="s">
        <v>45</v>
      </c>
      <c r="C49" t="s">
        <v>87</v>
      </c>
      <c r="D49">
        <v>4</v>
      </c>
      <c r="E49">
        <v>671.24061871859203</v>
      </c>
      <c r="F49">
        <v>807.47906966007304</v>
      </c>
      <c r="G49">
        <v>102.362204724409</v>
      </c>
      <c r="H49" t="s">
        <v>83</v>
      </c>
      <c r="I49">
        <v>671.24061871875404</v>
      </c>
      <c r="J49">
        <v>914.58492450968299</v>
      </c>
      <c r="K49">
        <v>102.362204724409</v>
      </c>
      <c r="L49" t="s">
        <v>83</v>
      </c>
      <c r="M49">
        <v>671.24061871875404</v>
      </c>
      <c r="N49">
        <v>914.58492450968299</v>
      </c>
      <c r="O49">
        <v>0</v>
      </c>
      <c r="P49" t="s">
        <v>84</v>
      </c>
      <c r="Q49">
        <v>671.24061871859203</v>
      </c>
      <c r="R49">
        <v>807.47906966007304</v>
      </c>
      <c r="S49">
        <v>0</v>
      </c>
      <c r="T49" t="s">
        <v>84</v>
      </c>
      <c r="U49" t="s">
        <v>85</v>
      </c>
      <c r="V49" s="18">
        <f t="shared" si="0"/>
        <v>17.049511715452237</v>
      </c>
      <c r="W49" s="18">
        <f t="shared" si="1"/>
        <v>20.509968369365854</v>
      </c>
      <c r="X49" s="18">
        <f t="shared" si="2"/>
        <v>17.049511715456351</v>
      </c>
      <c r="Y49" s="18">
        <f t="shared" si="3"/>
        <v>23.230457082545946</v>
      </c>
      <c r="Z49" s="20">
        <f t="shared" si="4"/>
        <v>2.7204887131800923</v>
      </c>
      <c r="AA49" s="18">
        <f t="shared" si="5"/>
        <v>0.25</v>
      </c>
      <c r="AB49" s="17" t="str">
        <f t="shared" si="6"/>
        <v>P8-7</v>
      </c>
      <c r="AC49" s="18">
        <f t="shared" si="7"/>
        <v>4.1140424400509801E-12</v>
      </c>
      <c r="AD49" s="18">
        <f t="shared" si="8"/>
        <v>2.7204887131800923</v>
      </c>
      <c r="AE49">
        <v>671.24061871875404</v>
      </c>
      <c r="AF49">
        <v>914.58492450968299</v>
      </c>
      <c r="AG49">
        <v>0</v>
      </c>
      <c r="AH49">
        <v>671.24061871875404</v>
      </c>
      <c r="AI49">
        <v>914.58492450968299</v>
      </c>
      <c r="AJ49">
        <v>102.362204724409</v>
      </c>
      <c r="AK49" t="s">
        <v>85</v>
      </c>
      <c r="AL49">
        <v>2</v>
      </c>
      <c r="AM49">
        <v>671.24061871875404</v>
      </c>
      <c r="AN49">
        <v>914.58492450968299</v>
      </c>
      <c r="AO49">
        <v>102.362204724409</v>
      </c>
      <c r="AP49">
        <v>671.24061871859203</v>
      </c>
      <c r="AQ49">
        <v>807.47906966007304</v>
      </c>
      <c r="AR49">
        <v>102.362204724409</v>
      </c>
      <c r="AS49" t="s">
        <v>85</v>
      </c>
      <c r="AT49">
        <v>2</v>
      </c>
      <c r="AU49">
        <v>671.24061871859203</v>
      </c>
      <c r="AV49">
        <v>807.47906966007304</v>
      </c>
      <c r="AW49">
        <v>102.362204724409</v>
      </c>
      <c r="AX49">
        <v>671.24061871859203</v>
      </c>
      <c r="AY49">
        <v>807.47906966007304</v>
      </c>
      <c r="AZ49">
        <v>0</v>
      </c>
      <c r="BA49" t="s">
        <v>86</v>
      </c>
      <c r="BB49">
        <v>0</v>
      </c>
      <c r="BC49">
        <v>0</v>
      </c>
    </row>
    <row r="50" spans="2:55" x14ac:dyDescent="0.3">
      <c r="B50" t="s">
        <v>45</v>
      </c>
      <c r="C50" t="s">
        <v>87</v>
      </c>
      <c r="D50">
        <v>4</v>
      </c>
      <c r="E50">
        <v>657.13889815243397</v>
      </c>
      <c r="F50">
        <v>914.58492450968299</v>
      </c>
      <c r="G50">
        <v>102.362204724409</v>
      </c>
      <c r="H50" t="s">
        <v>83</v>
      </c>
      <c r="I50">
        <v>657.13889815741697</v>
      </c>
      <c r="J50">
        <v>936.21922713824802</v>
      </c>
      <c r="K50">
        <v>102.362204724409</v>
      </c>
      <c r="L50" t="s">
        <v>83</v>
      </c>
      <c r="M50">
        <v>657.13889815741697</v>
      </c>
      <c r="N50">
        <v>936.21922713824802</v>
      </c>
      <c r="O50">
        <v>0</v>
      </c>
      <c r="P50" t="s">
        <v>84</v>
      </c>
      <c r="Q50">
        <v>657.13889815243397</v>
      </c>
      <c r="R50">
        <v>914.58492450968299</v>
      </c>
      <c r="S50">
        <v>0</v>
      </c>
      <c r="T50" t="s">
        <v>84</v>
      </c>
      <c r="U50" t="s">
        <v>85</v>
      </c>
      <c r="V50" s="18">
        <f t="shared" si="0"/>
        <v>16.691328013071821</v>
      </c>
      <c r="W50" s="18">
        <f t="shared" si="1"/>
        <v>23.230457082545946</v>
      </c>
      <c r="X50" s="18">
        <f t="shared" si="2"/>
        <v>16.69132801319839</v>
      </c>
      <c r="Y50" s="18">
        <f t="shared" si="3"/>
        <v>23.779968369311497</v>
      </c>
      <c r="Z50" s="20">
        <f t="shared" si="4"/>
        <v>0.54951128676555072</v>
      </c>
      <c r="AA50" s="18">
        <f t="shared" si="5"/>
        <v>0.25</v>
      </c>
      <c r="AB50" s="17" t="str">
        <f t="shared" si="6"/>
        <v>P8-7</v>
      </c>
      <c r="AC50" s="18">
        <f t="shared" si="7"/>
        <v>1.2656897752094665E-10</v>
      </c>
      <c r="AD50" s="18">
        <f t="shared" si="8"/>
        <v>0.54951128676555072</v>
      </c>
      <c r="AE50">
        <v>657.13889815741697</v>
      </c>
      <c r="AF50">
        <v>936.21922713824802</v>
      </c>
      <c r="AG50">
        <v>0</v>
      </c>
      <c r="AH50">
        <v>657.13889815741697</v>
      </c>
      <c r="AI50">
        <v>936.21922713824802</v>
      </c>
      <c r="AJ50">
        <v>102.362204724409</v>
      </c>
      <c r="AK50" t="s">
        <v>85</v>
      </c>
      <c r="AL50">
        <v>2</v>
      </c>
      <c r="AM50">
        <v>657.13889815741697</v>
      </c>
      <c r="AN50">
        <v>936.21922713824802</v>
      </c>
      <c r="AO50">
        <v>102.362204724409</v>
      </c>
      <c r="AP50">
        <v>657.13889815243397</v>
      </c>
      <c r="AQ50">
        <v>914.58492450968299</v>
      </c>
      <c r="AR50">
        <v>102.362204724409</v>
      </c>
      <c r="AS50" t="s">
        <v>85</v>
      </c>
      <c r="AT50">
        <v>2</v>
      </c>
      <c r="AU50">
        <v>657.13889815243397</v>
      </c>
      <c r="AV50">
        <v>914.58492450968299</v>
      </c>
      <c r="AW50">
        <v>102.362204724409</v>
      </c>
      <c r="AX50">
        <v>657.13889815243397</v>
      </c>
      <c r="AY50">
        <v>914.58492450968299</v>
      </c>
      <c r="AZ50">
        <v>0</v>
      </c>
      <c r="BA50" t="s">
        <v>86</v>
      </c>
      <c r="BB50">
        <v>0</v>
      </c>
      <c r="BC50">
        <v>0</v>
      </c>
    </row>
    <row r="51" spans="2:55" x14ac:dyDescent="0.3">
      <c r="V51" s="18" t="str">
        <f t="shared" si="0"/>
        <v/>
      </c>
      <c r="W51" s="18" t="str">
        <f t="shared" si="1"/>
        <v/>
      </c>
      <c r="X51" s="18" t="str">
        <f t="shared" si="2"/>
        <v/>
      </c>
      <c r="Y51" s="18" t="str">
        <f t="shared" si="3"/>
        <v/>
      </c>
      <c r="Z51" s="20" t="str">
        <f t="shared" si="4"/>
        <v/>
      </c>
      <c r="AA51" s="18" t="str">
        <f t="shared" si="5"/>
        <v/>
      </c>
      <c r="AB51" s="17" t="str">
        <f t="shared" si="6"/>
        <v/>
      </c>
      <c r="AC51" s="18" t="str">
        <f t="shared" si="7"/>
        <v/>
      </c>
      <c r="AD51" s="18" t="str">
        <f t="shared" si="8"/>
        <v/>
      </c>
    </row>
    <row r="52" spans="2:55" x14ac:dyDescent="0.3">
      <c r="B52" t="s">
        <v>63</v>
      </c>
      <c r="C52" t="s">
        <v>64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72</v>
      </c>
      <c r="L52" t="s">
        <v>73</v>
      </c>
      <c r="M52" t="s">
        <v>74</v>
      </c>
      <c r="N52" t="s">
        <v>75</v>
      </c>
      <c r="O52" t="s">
        <v>76</v>
      </c>
      <c r="P52" t="s">
        <v>77</v>
      </c>
      <c r="Q52" t="s">
        <v>78</v>
      </c>
      <c r="R52" t="s">
        <v>79</v>
      </c>
      <c r="S52" t="s">
        <v>80</v>
      </c>
      <c r="T52" t="s">
        <v>81</v>
      </c>
      <c r="V52" s="18" t="str">
        <f t="shared" si="0"/>
        <v/>
      </c>
      <c r="W52" s="18" t="str">
        <f t="shared" si="1"/>
        <v/>
      </c>
      <c r="X52" s="18" t="str">
        <f t="shared" si="2"/>
        <v/>
      </c>
      <c r="Y52" s="18" t="str">
        <f t="shared" si="3"/>
        <v/>
      </c>
      <c r="Z52" s="20" t="str">
        <f t="shared" si="4"/>
        <v/>
      </c>
      <c r="AA52" s="18" t="str">
        <f t="shared" si="5"/>
        <v/>
      </c>
      <c r="AB52" s="17" t="str">
        <f t="shared" si="6"/>
        <v/>
      </c>
      <c r="AC52" s="18" t="str">
        <f t="shared" si="7"/>
        <v/>
      </c>
      <c r="AD52" s="18" t="str">
        <f t="shared" si="8"/>
        <v/>
      </c>
    </row>
    <row r="53" spans="2:55" x14ac:dyDescent="0.3">
      <c r="B53" t="s">
        <v>49</v>
      </c>
      <c r="C53" t="s">
        <v>87</v>
      </c>
      <c r="D53">
        <v>4</v>
      </c>
      <c r="E53">
        <v>594.14677216816403</v>
      </c>
      <c r="F53">
        <v>697.26208986854897</v>
      </c>
      <c r="G53">
        <v>102.362204724409</v>
      </c>
      <c r="H53" t="s">
        <v>83</v>
      </c>
      <c r="I53">
        <v>389.42236271901299</v>
      </c>
      <c r="J53">
        <v>697.26208986854897</v>
      </c>
      <c r="K53">
        <v>102.362204724409</v>
      </c>
      <c r="L53" t="s">
        <v>83</v>
      </c>
      <c r="M53">
        <v>389.42236271901299</v>
      </c>
      <c r="N53">
        <v>697.26208986854897</v>
      </c>
      <c r="O53">
        <v>0</v>
      </c>
      <c r="P53" t="s">
        <v>84</v>
      </c>
      <c r="Q53">
        <v>594.14677216816403</v>
      </c>
      <c r="R53">
        <v>697.26208986854897</v>
      </c>
      <c r="S53">
        <v>0</v>
      </c>
      <c r="T53" t="s">
        <v>84</v>
      </c>
      <c r="U53" t="s">
        <v>85</v>
      </c>
      <c r="V53" s="18">
        <f t="shared" si="0"/>
        <v>15.091328013071365</v>
      </c>
      <c r="W53" s="18">
        <f t="shared" si="1"/>
        <v>17.710457082661144</v>
      </c>
      <c r="X53" s="18">
        <f t="shared" si="2"/>
        <v>9.89132801306293</v>
      </c>
      <c r="Y53" s="18">
        <f t="shared" si="3"/>
        <v>17.710457082661144</v>
      </c>
      <c r="Z53" s="20">
        <f t="shared" si="4"/>
        <v>5.2000000000084352</v>
      </c>
      <c r="AA53" s="18">
        <f t="shared" si="5"/>
        <v>0.25</v>
      </c>
      <c r="AB53" s="17" t="str">
        <f t="shared" si="6"/>
        <v>PG</v>
      </c>
      <c r="AC53" s="18">
        <f t="shared" si="7"/>
        <v>5.2000000000084352</v>
      </c>
      <c r="AD53" s="18">
        <f t="shared" si="8"/>
        <v>0</v>
      </c>
      <c r="AE53">
        <v>389.42236271901299</v>
      </c>
      <c r="AF53">
        <v>697.26208986854897</v>
      </c>
      <c r="AG53">
        <v>0</v>
      </c>
      <c r="AH53">
        <v>389.42236271901299</v>
      </c>
      <c r="AI53">
        <v>697.26208986854897</v>
      </c>
      <c r="AJ53">
        <v>102.362204724409</v>
      </c>
      <c r="AK53" t="s">
        <v>85</v>
      </c>
      <c r="AL53">
        <v>2</v>
      </c>
      <c r="AM53">
        <v>389.42236271901299</v>
      </c>
      <c r="AN53">
        <v>697.26208986854897</v>
      </c>
      <c r="AO53">
        <v>102.362204724409</v>
      </c>
      <c r="AP53">
        <v>594.14677216816403</v>
      </c>
      <c r="AQ53">
        <v>697.26208986854897</v>
      </c>
      <c r="AR53">
        <v>102.362204724409</v>
      </c>
      <c r="AS53" t="s">
        <v>85</v>
      </c>
      <c r="AT53">
        <v>2</v>
      </c>
      <c r="AU53">
        <v>594.14677216816403</v>
      </c>
      <c r="AV53">
        <v>697.26208986854897</v>
      </c>
      <c r="AW53">
        <v>102.362204724409</v>
      </c>
      <c r="AX53">
        <v>594.14677216816403</v>
      </c>
      <c r="AY53">
        <v>697.26208986854897</v>
      </c>
      <c r="AZ53">
        <v>0</v>
      </c>
      <c r="BA53" t="s">
        <v>86</v>
      </c>
      <c r="BB53">
        <v>0</v>
      </c>
      <c r="BC53">
        <v>0</v>
      </c>
    </row>
    <row r="54" spans="2:55" x14ac:dyDescent="0.3">
      <c r="V54" s="18" t="str">
        <f t="shared" si="0"/>
        <v/>
      </c>
      <c r="W54" s="18" t="str">
        <f t="shared" si="1"/>
        <v/>
      </c>
      <c r="X54" s="18" t="str">
        <f t="shared" si="2"/>
        <v/>
      </c>
      <c r="Y54" s="18" t="str">
        <f t="shared" si="3"/>
        <v/>
      </c>
      <c r="Z54" s="20" t="str">
        <f t="shared" si="4"/>
        <v/>
      </c>
      <c r="AA54" s="18" t="str">
        <f t="shared" si="5"/>
        <v/>
      </c>
      <c r="AB54" s="17" t="str">
        <f t="shared" si="6"/>
        <v/>
      </c>
      <c r="AC54" s="18" t="str">
        <f t="shared" si="7"/>
        <v/>
      </c>
      <c r="AD54" s="18" t="str">
        <f t="shared" si="8"/>
        <v/>
      </c>
    </row>
    <row r="55" spans="2:55" x14ac:dyDescent="0.3">
      <c r="B55" t="s">
        <v>63</v>
      </c>
      <c r="C55" t="s">
        <v>64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72</v>
      </c>
      <c r="L55" t="s">
        <v>73</v>
      </c>
      <c r="M55" t="s">
        <v>74</v>
      </c>
      <c r="N55" t="s">
        <v>75</v>
      </c>
      <c r="O55" t="s">
        <v>76</v>
      </c>
      <c r="P55" t="s">
        <v>77</v>
      </c>
      <c r="Q55" t="s">
        <v>78</v>
      </c>
      <c r="R55" t="s">
        <v>79</v>
      </c>
      <c r="S55" t="s">
        <v>80</v>
      </c>
      <c r="T55" t="s">
        <v>81</v>
      </c>
      <c r="V55" s="18" t="str">
        <f t="shared" si="0"/>
        <v/>
      </c>
      <c r="W55" s="18" t="str">
        <f t="shared" si="1"/>
        <v/>
      </c>
      <c r="X55" s="18" t="str">
        <f t="shared" si="2"/>
        <v/>
      </c>
      <c r="Y55" s="18" t="str">
        <f t="shared" si="3"/>
        <v/>
      </c>
      <c r="Z55" s="20" t="str">
        <f t="shared" si="4"/>
        <v/>
      </c>
      <c r="AA55" s="18" t="str">
        <f t="shared" si="5"/>
        <v/>
      </c>
      <c r="AB55" s="17" t="str">
        <f t="shared" si="6"/>
        <v/>
      </c>
      <c r="AC55" s="18" t="str">
        <f t="shared" si="7"/>
        <v/>
      </c>
      <c r="AD55" s="18" t="str">
        <f t="shared" si="8"/>
        <v/>
      </c>
    </row>
    <row r="56" spans="2:55" x14ac:dyDescent="0.3">
      <c r="B56" t="s">
        <v>46</v>
      </c>
      <c r="C56" t="s">
        <v>87</v>
      </c>
      <c r="D56">
        <v>4</v>
      </c>
      <c r="E56">
        <v>741.19401623622002</v>
      </c>
      <c r="F56">
        <v>766.15972765909805</v>
      </c>
      <c r="G56">
        <v>102.362204724409</v>
      </c>
      <c r="H56" t="s">
        <v>83</v>
      </c>
      <c r="I56">
        <v>653.20189028336495</v>
      </c>
      <c r="J56">
        <v>766.159727659076</v>
      </c>
      <c r="K56">
        <v>102.362204724409</v>
      </c>
      <c r="L56" t="s">
        <v>83</v>
      </c>
      <c r="M56">
        <v>653.20189028336495</v>
      </c>
      <c r="N56">
        <v>766.159727659076</v>
      </c>
      <c r="O56">
        <v>0</v>
      </c>
      <c r="P56" t="s">
        <v>84</v>
      </c>
      <c r="Q56">
        <v>741.19401623622002</v>
      </c>
      <c r="R56">
        <v>766.15972765909805</v>
      </c>
      <c r="S56">
        <v>0</v>
      </c>
      <c r="T56" t="s">
        <v>84</v>
      </c>
      <c r="U56" t="s">
        <v>85</v>
      </c>
      <c r="V56" s="18">
        <f t="shared" si="0"/>
        <v>18.826328012399987</v>
      </c>
      <c r="W56" s="18">
        <f t="shared" si="1"/>
        <v>19.46045708254109</v>
      </c>
      <c r="X56" s="18">
        <f t="shared" si="2"/>
        <v>16.591328013197469</v>
      </c>
      <c r="Y56" s="18">
        <f t="shared" si="3"/>
        <v>19.460457082540529</v>
      </c>
      <c r="Z56" s="20">
        <f t="shared" si="4"/>
        <v>2.2349999992025182</v>
      </c>
      <c r="AA56" s="18">
        <f t="shared" si="5"/>
        <v>0.25</v>
      </c>
      <c r="AB56" s="17" t="str">
        <f t="shared" si="6"/>
        <v>PH</v>
      </c>
      <c r="AC56" s="18">
        <f t="shared" si="7"/>
        <v>2.2349999992025182</v>
      </c>
      <c r="AD56" s="18">
        <f t="shared" si="8"/>
        <v>5.6132876125047915E-13</v>
      </c>
      <c r="AE56">
        <v>653.20189028336495</v>
      </c>
      <c r="AF56">
        <v>766.159727659076</v>
      </c>
      <c r="AG56">
        <v>0</v>
      </c>
      <c r="AH56">
        <v>653.20189028336495</v>
      </c>
      <c r="AI56">
        <v>766.159727659076</v>
      </c>
      <c r="AJ56">
        <v>102.362204724409</v>
      </c>
      <c r="AK56" t="s">
        <v>85</v>
      </c>
      <c r="AL56">
        <v>2</v>
      </c>
      <c r="AM56">
        <v>653.20189028336495</v>
      </c>
      <c r="AN56">
        <v>766.159727659076</v>
      </c>
      <c r="AO56">
        <v>102.362204724409</v>
      </c>
      <c r="AP56">
        <v>741.19401623622002</v>
      </c>
      <c r="AQ56">
        <v>766.15972765909805</v>
      </c>
      <c r="AR56">
        <v>102.362204724409</v>
      </c>
      <c r="AS56" t="s">
        <v>85</v>
      </c>
      <c r="AT56">
        <v>2</v>
      </c>
      <c r="AU56">
        <v>741.19401623622002</v>
      </c>
      <c r="AV56">
        <v>766.15972765909805</v>
      </c>
      <c r="AW56">
        <v>102.362204724409</v>
      </c>
      <c r="AX56">
        <v>741.19401623622002</v>
      </c>
      <c r="AY56">
        <v>766.15972765909805</v>
      </c>
      <c r="AZ56">
        <v>0</v>
      </c>
      <c r="BA56" t="s">
        <v>86</v>
      </c>
      <c r="BB56">
        <v>0</v>
      </c>
      <c r="BC56">
        <v>0</v>
      </c>
    </row>
    <row r="57" spans="2:55" x14ac:dyDescent="0.3">
      <c r="B57" t="s">
        <v>46</v>
      </c>
      <c r="C57" t="s">
        <v>87</v>
      </c>
      <c r="D57">
        <v>4</v>
      </c>
      <c r="E57">
        <v>741.19401623622002</v>
      </c>
      <c r="F57">
        <v>766.15972765909805</v>
      </c>
      <c r="G57">
        <v>102.362204724409</v>
      </c>
      <c r="H57" t="s">
        <v>83</v>
      </c>
      <c r="I57">
        <v>863.73860743584305</v>
      </c>
      <c r="J57">
        <v>766.15972765909805</v>
      </c>
      <c r="K57">
        <v>102.362204724409</v>
      </c>
      <c r="L57" t="s">
        <v>83</v>
      </c>
      <c r="M57">
        <v>863.73860743584305</v>
      </c>
      <c r="N57">
        <v>766.15972765909805</v>
      </c>
      <c r="O57">
        <v>0</v>
      </c>
      <c r="P57" t="s">
        <v>84</v>
      </c>
      <c r="Q57">
        <v>741.19401623622002</v>
      </c>
      <c r="R57">
        <v>766.15972765909805</v>
      </c>
      <c r="S57">
        <v>0</v>
      </c>
      <c r="T57" t="s">
        <v>84</v>
      </c>
      <c r="U57" t="s">
        <v>85</v>
      </c>
      <c r="V57" s="18">
        <f t="shared" si="0"/>
        <v>18.826328012399987</v>
      </c>
      <c r="W57" s="18">
        <f t="shared" si="1"/>
        <v>19.46045708254109</v>
      </c>
      <c r="X57" s="18">
        <f t="shared" si="2"/>
        <v>21.938960628870412</v>
      </c>
      <c r="Y57" s="18">
        <f t="shared" si="3"/>
        <v>19.46045708254109</v>
      </c>
      <c r="Z57" s="20">
        <f t="shared" si="4"/>
        <v>3.1126326164704246</v>
      </c>
      <c r="AA57" s="18">
        <f t="shared" si="5"/>
        <v>0.25</v>
      </c>
      <c r="AB57" s="17" t="str">
        <f t="shared" si="6"/>
        <v>PH</v>
      </c>
      <c r="AC57" s="18">
        <f t="shared" si="7"/>
        <v>3.1126326164704246</v>
      </c>
      <c r="AD57" s="18">
        <f t="shared" si="8"/>
        <v>0</v>
      </c>
      <c r="AE57">
        <v>863.73860743584305</v>
      </c>
      <c r="AF57">
        <v>766.15972765909805</v>
      </c>
      <c r="AG57">
        <v>0</v>
      </c>
      <c r="AH57">
        <v>863.73860743584305</v>
      </c>
      <c r="AI57">
        <v>766.15972765909805</v>
      </c>
      <c r="AJ57">
        <v>102.362204724409</v>
      </c>
      <c r="AK57" t="s">
        <v>85</v>
      </c>
      <c r="AL57">
        <v>2</v>
      </c>
      <c r="AM57">
        <v>863.73860743584305</v>
      </c>
      <c r="AN57">
        <v>766.15972765909805</v>
      </c>
      <c r="AO57">
        <v>102.362204724409</v>
      </c>
      <c r="AP57">
        <v>741.19401623622002</v>
      </c>
      <c r="AQ57">
        <v>766.15972765909805</v>
      </c>
      <c r="AR57">
        <v>102.362204724409</v>
      </c>
      <c r="AS57" t="s">
        <v>85</v>
      </c>
      <c r="AT57">
        <v>2</v>
      </c>
      <c r="AU57">
        <v>741.19401623622002</v>
      </c>
      <c r="AV57">
        <v>766.15972765909805</v>
      </c>
      <c r="AW57">
        <v>102.362204724409</v>
      </c>
      <c r="AX57">
        <v>741.19401623622002</v>
      </c>
      <c r="AY57">
        <v>766.15972765909805</v>
      </c>
      <c r="AZ57">
        <v>0</v>
      </c>
      <c r="BA57" t="s">
        <v>86</v>
      </c>
      <c r="BB57">
        <v>0</v>
      </c>
      <c r="BC57">
        <v>0</v>
      </c>
    </row>
    <row r="58" spans="2:55" x14ac:dyDescent="0.3">
      <c r="V58" s="18" t="str">
        <f t="shared" si="0"/>
        <v/>
      </c>
      <c r="W58" s="18" t="str">
        <f t="shared" si="1"/>
        <v/>
      </c>
      <c r="X58" s="18" t="str">
        <f t="shared" si="2"/>
        <v/>
      </c>
      <c r="Y58" s="18" t="str">
        <f t="shared" si="3"/>
        <v/>
      </c>
      <c r="Z58" s="20" t="str">
        <f t="shared" si="4"/>
        <v/>
      </c>
      <c r="AA58" s="18" t="str">
        <f t="shared" si="5"/>
        <v/>
      </c>
      <c r="AB58" s="17" t="str">
        <f t="shared" si="6"/>
        <v/>
      </c>
      <c r="AC58" s="18" t="str">
        <f t="shared" si="7"/>
        <v/>
      </c>
      <c r="AD58" s="18" t="str">
        <f t="shared" si="8"/>
        <v/>
      </c>
    </row>
    <row r="59" spans="2:55" x14ac:dyDescent="0.3">
      <c r="B59" t="s">
        <v>63</v>
      </c>
      <c r="C59" t="s">
        <v>64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73</v>
      </c>
      <c r="M59" t="s">
        <v>74</v>
      </c>
      <c r="N59" t="s">
        <v>75</v>
      </c>
      <c r="O59" t="s">
        <v>76</v>
      </c>
      <c r="P59" t="s">
        <v>77</v>
      </c>
      <c r="Q59" t="s">
        <v>78</v>
      </c>
      <c r="R59" t="s">
        <v>79</v>
      </c>
      <c r="S59" t="s">
        <v>80</v>
      </c>
      <c r="T59" t="s">
        <v>81</v>
      </c>
      <c r="V59" s="18" t="str">
        <f t="shared" si="0"/>
        <v/>
      </c>
      <c r="W59" s="18" t="str">
        <f t="shared" si="1"/>
        <v/>
      </c>
      <c r="X59" s="18" t="str">
        <f t="shared" si="2"/>
        <v/>
      </c>
      <c r="Y59" s="18" t="str">
        <f t="shared" si="3"/>
        <v/>
      </c>
      <c r="Z59" s="20" t="str">
        <f t="shared" si="4"/>
        <v/>
      </c>
      <c r="AA59" s="18" t="str">
        <f t="shared" si="5"/>
        <v/>
      </c>
      <c r="AB59" s="17" t="str">
        <f t="shared" si="6"/>
        <v/>
      </c>
      <c r="AC59" s="18" t="str">
        <f t="shared" si="7"/>
        <v/>
      </c>
      <c r="AD59" s="18" t="str">
        <f t="shared" si="8"/>
        <v/>
      </c>
    </row>
    <row r="60" spans="2:55" x14ac:dyDescent="0.3">
      <c r="B60" t="s">
        <v>47</v>
      </c>
      <c r="C60" t="s">
        <v>87</v>
      </c>
      <c r="D60">
        <v>4</v>
      </c>
      <c r="E60">
        <v>653.20189028336301</v>
      </c>
      <c r="F60">
        <v>620.49043632027599</v>
      </c>
      <c r="G60">
        <v>102.362204724409</v>
      </c>
      <c r="H60" t="s">
        <v>83</v>
      </c>
      <c r="I60">
        <v>863.72544688274695</v>
      </c>
      <c r="J60">
        <v>620.49043632049995</v>
      </c>
      <c r="K60">
        <v>102.362204724409</v>
      </c>
      <c r="L60" t="s">
        <v>83</v>
      </c>
      <c r="M60">
        <v>863.72544688274695</v>
      </c>
      <c r="N60">
        <v>620.49043632049995</v>
      </c>
      <c r="O60">
        <v>0</v>
      </c>
      <c r="P60" t="s">
        <v>84</v>
      </c>
      <c r="Q60">
        <v>653.20189028336301</v>
      </c>
      <c r="R60">
        <v>620.49043632027599</v>
      </c>
      <c r="S60">
        <v>0</v>
      </c>
      <c r="T60" t="s">
        <v>84</v>
      </c>
      <c r="U60" t="s">
        <v>85</v>
      </c>
      <c r="V60" s="18">
        <f t="shared" si="0"/>
        <v>16.591328013197419</v>
      </c>
      <c r="W60" s="18">
        <f t="shared" si="1"/>
        <v>15.760457082535009</v>
      </c>
      <c r="X60" s="18">
        <f t="shared" si="2"/>
        <v>21.938626350821771</v>
      </c>
      <c r="Y60" s="18">
        <f t="shared" si="3"/>
        <v>15.760457082540698</v>
      </c>
      <c r="Z60" s="20">
        <f t="shared" si="4"/>
        <v>5.3472983376243519</v>
      </c>
      <c r="AA60" s="18">
        <f t="shared" si="5"/>
        <v>0.25</v>
      </c>
      <c r="AB60" s="17" t="str">
        <f t="shared" si="6"/>
        <v>PE</v>
      </c>
      <c r="AC60" s="18">
        <f t="shared" si="7"/>
        <v>5.3472983376243519</v>
      </c>
      <c r="AD60" s="18">
        <f t="shared" si="8"/>
        <v>5.6896709565990022E-12</v>
      </c>
      <c r="AE60">
        <v>863.72544688274695</v>
      </c>
      <c r="AF60">
        <v>620.49043632049995</v>
      </c>
      <c r="AG60">
        <v>0</v>
      </c>
      <c r="AH60">
        <v>863.72544688274695</v>
      </c>
      <c r="AI60">
        <v>620.49043632049995</v>
      </c>
      <c r="AJ60">
        <v>102.362204724409</v>
      </c>
      <c r="AK60" t="s">
        <v>85</v>
      </c>
      <c r="AL60">
        <v>2</v>
      </c>
      <c r="AM60">
        <v>863.72544688274695</v>
      </c>
      <c r="AN60">
        <v>620.49043632049995</v>
      </c>
      <c r="AO60">
        <v>102.362204724409</v>
      </c>
      <c r="AP60">
        <v>653.20189028336301</v>
      </c>
      <c r="AQ60">
        <v>620.49043632027599</v>
      </c>
      <c r="AR60">
        <v>102.362204724409</v>
      </c>
      <c r="AS60" t="s">
        <v>85</v>
      </c>
      <c r="AT60">
        <v>2</v>
      </c>
      <c r="AU60">
        <v>653.20189028336301</v>
      </c>
      <c r="AV60">
        <v>620.49043632027599</v>
      </c>
      <c r="AW60">
        <v>102.362204724409</v>
      </c>
      <c r="AX60">
        <v>653.20189028336301</v>
      </c>
      <c r="AY60">
        <v>620.49043632027599</v>
      </c>
      <c r="AZ60">
        <v>0</v>
      </c>
      <c r="BA60" t="s">
        <v>86</v>
      </c>
      <c r="BB60">
        <v>0</v>
      </c>
      <c r="BC60">
        <v>0</v>
      </c>
    </row>
    <row r="61" spans="2:55" x14ac:dyDescent="0.3">
      <c r="V61" s="18" t="str">
        <f t="shared" si="0"/>
        <v/>
      </c>
      <c r="W61" s="18" t="str">
        <f t="shared" si="1"/>
        <v/>
      </c>
      <c r="X61" s="18" t="str">
        <f t="shared" si="2"/>
        <v/>
      </c>
      <c r="Y61" s="18" t="str">
        <f t="shared" si="3"/>
        <v/>
      </c>
      <c r="Z61" s="20" t="str">
        <f t="shared" si="4"/>
        <v/>
      </c>
      <c r="AA61" s="18" t="str">
        <f t="shared" si="5"/>
        <v/>
      </c>
      <c r="AB61" s="17" t="str">
        <f t="shared" si="6"/>
        <v/>
      </c>
      <c r="AC61" s="18" t="str">
        <f t="shared" si="7"/>
        <v/>
      </c>
      <c r="AD61" s="18" t="str">
        <f t="shared" si="8"/>
        <v/>
      </c>
    </row>
    <row r="62" spans="2:55" x14ac:dyDescent="0.3">
      <c r="B62" t="s">
        <v>63</v>
      </c>
      <c r="C62" t="s">
        <v>64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72</v>
      </c>
      <c r="L62" t="s">
        <v>73</v>
      </c>
      <c r="M62" t="s">
        <v>74</v>
      </c>
      <c r="N62" t="s">
        <v>75</v>
      </c>
      <c r="O62" t="s">
        <v>76</v>
      </c>
      <c r="P62" t="s">
        <v>77</v>
      </c>
      <c r="Q62" t="s">
        <v>78</v>
      </c>
      <c r="R62" t="s">
        <v>79</v>
      </c>
      <c r="S62" t="s">
        <v>80</v>
      </c>
      <c r="T62" t="s">
        <v>81</v>
      </c>
      <c r="V62" s="18" t="str">
        <f t="shared" si="0"/>
        <v/>
      </c>
      <c r="W62" s="18" t="str">
        <f t="shared" si="1"/>
        <v/>
      </c>
      <c r="X62" s="18" t="str">
        <f t="shared" si="2"/>
        <v/>
      </c>
      <c r="Y62" s="18" t="str">
        <f t="shared" si="3"/>
        <v/>
      </c>
      <c r="Z62" s="20" t="str">
        <f t="shared" si="4"/>
        <v/>
      </c>
      <c r="AA62" s="18" t="str">
        <f t="shared" si="5"/>
        <v/>
      </c>
      <c r="AB62" s="17" t="str">
        <f t="shared" si="6"/>
        <v/>
      </c>
      <c r="AC62" s="18" t="str">
        <f t="shared" si="7"/>
        <v/>
      </c>
      <c r="AD62" s="18" t="str">
        <f t="shared" si="8"/>
        <v/>
      </c>
    </row>
    <row r="63" spans="2:55" x14ac:dyDescent="0.3">
      <c r="B63" t="s">
        <v>48</v>
      </c>
      <c r="C63" t="s">
        <v>87</v>
      </c>
      <c r="D63">
        <v>4</v>
      </c>
      <c r="E63">
        <v>741.19401623626197</v>
      </c>
      <c r="F63">
        <v>620.490436320497</v>
      </c>
      <c r="G63">
        <v>102.362204724409</v>
      </c>
      <c r="H63" t="s">
        <v>83</v>
      </c>
      <c r="I63">
        <v>741.19401623622002</v>
      </c>
      <c r="J63">
        <v>766.15972765909805</v>
      </c>
      <c r="K63">
        <v>102.362204724409</v>
      </c>
      <c r="L63" t="s">
        <v>83</v>
      </c>
      <c r="M63">
        <v>741.19401623622002</v>
      </c>
      <c r="N63">
        <v>766.15972765909805</v>
      </c>
      <c r="O63">
        <v>0</v>
      </c>
      <c r="P63" t="s">
        <v>84</v>
      </c>
      <c r="Q63">
        <v>741.19401623626197</v>
      </c>
      <c r="R63">
        <v>620.490436320497</v>
      </c>
      <c r="S63">
        <v>0</v>
      </c>
      <c r="T63" t="s">
        <v>84</v>
      </c>
      <c r="U63" t="s">
        <v>85</v>
      </c>
      <c r="V63" s="18">
        <f t="shared" si="0"/>
        <v>18.826328012401053</v>
      </c>
      <c r="W63" s="18">
        <f t="shared" si="1"/>
        <v>15.760457082540624</v>
      </c>
      <c r="X63" s="18">
        <f t="shared" si="2"/>
        <v>18.826328012399987</v>
      </c>
      <c r="Y63" s="18">
        <f t="shared" si="3"/>
        <v>19.46045708254109</v>
      </c>
      <c r="Z63" s="20">
        <f t="shared" si="4"/>
        <v>3.7000000000004665</v>
      </c>
      <c r="AA63" s="18">
        <f t="shared" si="5"/>
        <v>0.25</v>
      </c>
      <c r="AB63" s="17" t="str">
        <f t="shared" si="6"/>
        <v>P9</v>
      </c>
      <c r="AC63" s="18">
        <f t="shared" si="7"/>
        <v>1.0658141036401503E-12</v>
      </c>
      <c r="AD63" s="18">
        <f t="shared" si="8"/>
        <v>3.7000000000004665</v>
      </c>
      <c r="AE63">
        <v>741.19401623622002</v>
      </c>
      <c r="AF63">
        <v>766.15972765909805</v>
      </c>
      <c r="AG63">
        <v>0</v>
      </c>
      <c r="AH63">
        <v>741.19401623622002</v>
      </c>
      <c r="AI63">
        <v>766.15972765909805</v>
      </c>
      <c r="AJ63">
        <v>102.362204724409</v>
      </c>
      <c r="AK63" t="s">
        <v>85</v>
      </c>
      <c r="AL63">
        <v>2</v>
      </c>
      <c r="AM63">
        <v>741.19401623622002</v>
      </c>
      <c r="AN63">
        <v>766.15972765909805</v>
      </c>
      <c r="AO63">
        <v>102.362204724409</v>
      </c>
      <c r="AP63">
        <v>741.19401623626197</v>
      </c>
      <c r="AQ63">
        <v>620.490436320497</v>
      </c>
      <c r="AR63">
        <v>102.362204724409</v>
      </c>
      <c r="AS63" t="s">
        <v>85</v>
      </c>
      <c r="AT63">
        <v>2</v>
      </c>
      <c r="AU63">
        <v>741.19401623626197</v>
      </c>
      <c r="AV63">
        <v>620.490436320497</v>
      </c>
      <c r="AW63">
        <v>102.362204724409</v>
      </c>
      <c r="AX63">
        <v>741.19401623626197</v>
      </c>
      <c r="AY63">
        <v>620.490436320497</v>
      </c>
      <c r="AZ63">
        <v>0</v>
      </c>
      <c r="BA63" t="s">
        <v>86</v>
      </c>
      <c r="BB63">
        <v>0</v>
      </c>
      <c r="BC63">
        <v>0</v>
      </c>
    </row>
    <row r="64" spans="2:55" x14ac:dyDescent="0.3">
      <c r="V64" s="18" t="str">
        <f t="shared" si="0"/>
        <v/>
      </c>
      <c r="W64" s="18" t="str">
        <f t="shared" si="1"/>
        <v/>
      </c>
      <c r="X64" s="18" t="str">
        <f t="shared" si="2"/>
        <v/>
      </c>
      <c r="Y64" s="18" t="str">
        <f t="shared" si="3"/>
        <v/>
      </c>
      <c r="Z64" s="20" t="str">
        <f t="shared" si="4"/>
        <v/>
      </c>
      <c r="AA64" s="18" t="str">
        <f t="shared" si="5"/>
        <v/>
      </c>
      <c r="AB64" s="17" t="str">
        <f t="shared" si="6"/>
        <v/>
      </c>
      <c r="AC64" s="18" t="str">
        <f t="shared" si="7"/>
        <v/>
      </c>
      <c r="AD64" s="18" t="str">
        <f t="shared" si="8"/>
        <v/>
      </c>
    </row>
    <row r="65" spans="2:55" x14ac:dyDescent="0.3">
      <c r="B65" t="s">
        <v>63</v>
      </c>
      <c r="C65" t="s">
        <v>64</v>
      </c>
      <c r="D65" t="s">
        <v>65</v>
      </c>
      <c r="E65" t="s">
        <v>66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72</v>
      </c>
      <c r="L65" t="s">
        <v>73</v>
      </c>
      <c r="M65" t="s">
        <v>74</v>
      </c>
      <c r="N65" t="s">
        <v>75</v>
      </c>
      <c r="O65" t="s">
        <v>76</v>
      </c>
      <c r="P65" t="s">
        <v>77</v>
      </c>
      <c r="Q65" t="s">
        <v>78</v>
      </c>
      <c r="R65" t="s">
        <v>79</v>
      </c>
      <c r="S65" t="s">
        <v>80</v>
      </c>
      <c r="T65" t="s">
        <v>81</v>
      </c>
      <c r="V65" s="18" t="str">
        <f t="shared" si="0"/>
        <v/>
      </c>
      <c r="W65" s="18" t="str">
        <f t="shared" si="1"/>
        <v/>
      </c>
      <c r="X65" s="18" t="str">
        <f t="shared" si="2"/>
        <v/>
      </c>
      <c r="Y65" s="18" t="str">
        <f t="shared" si="3"/>
        <v/>
      </c>
      <c r="Z65" s="20" t="str">
        <f t="shared" si="4"/>
        <v/>
      </c>
      <c r="AA65" s="18" t="str">
        <f t="shared" si="5"/>
        <v/>
      </c>
      <c r="AB65" s="17" t="str">
        <f t="shared" si="6"/>
        <v/>
      </c>
      <c r="AC65" s="18" t="str">
        <f t="shared" si="7"/>
        <v/>
      </c>
      <c r="AD65" s="18" t="str">
        <f t="shared" si="8"/>
        <v/>
      </c>
    </row>
    <row r="66" spans="2:55" x14ac:dyDescent="0.3">
      <c r="B66" t="s">
        <v>52</v>
      </c>
      <c r="C66" t="s">
        <v>87</v>
      </c>
      <c r="D66">
        <v>4</v>
      </c>
      <c r="E66">
        <v>863.71548754557898</v>
      </c>
      <c r="F66">
        <v>510.25421584787699</v>
      </c>
      <c r="G66">
        <v>102.362204724409</v>
      </c>
      <c r="H66" t="s">
        <v>83</v>
      </c>
      <c r="I66">
        <v>863.73049768993496</v>
      </c>
      <c r="J66">
        <v>676.39594812421603</v>
      </c>
      <c r="K66">
        <v>102.362204724409</v>
      </c>
      <c r="L66" t="s">
        <v>83</v>
      </c>
      <c r="M66">
        <v>863.73049768993496</v>
      </c>
      <c r="N66">
        <v>676.39594812421603</v>
      </c>
      <c r="O66">
        <v>0</v>
      </c>
      <c r="P66" t="s">
        <v>84</v>
      </c>
      <c r="Q66">
        <v>863.71548754557898</v>
      </c>
      <c r="R66">
        <v>510.25421584787699</v>
      </c>
      <c r="S66">
        <v>0</v>
      </c>
      <c r="T66" t="s">
        <v>84</v>
      </c>
      <c r="U66" t="s">
        <v>85</v>
      </c>
      <c r="V66" s="18">
        <f t="shared" si="0"/>
        <v>21.938373383657705</v>
      </c>
      <c r="W66" s="18">
        <f t="shared" si="1"/>
        <v>12.960457082536076</v>
      </c>
      <c r="X66" s="18">
        <f t="shared" si="2"/>
        <v>21.938754641324348</v>
      </c>
      <c r="Y66" s="18">
        <f t="shared" si="3"/>
        <v>17.180457082355087</v>
      </c>
      <c r="Z66" s="20">
        <f t="shared" si="4"/>
        <v>4.2200000170414524</v>
      </c>
      <c r="AA66" s="18">
        <f t="shared" si="5"/>
        <v>0.25</v>
      </c>
      <c r="AB66" s="17" t="str">
        <f t="shared" si="6"/>
        <v>P11</v>
      </c>
      <c r="AC66" s="18">
        <f t="shared" si="7"/>
        <v>3.812576666426537E-4</v>
      </c>
      <c r="AD66" s="18">
        <f t="shared" si="8"/>
        <v>4.2199999998190112</v>
      </c>
      <c r="AE66">
        <v>863.73049768993496</v>
      </c>
      <c r="AF66">
        <v>676.39594812421603</v>
      </c>
      <c r="AG66">
        <v>0</v>
      </c>
      <c r="AH66">
        <v>863.73049768993496</v>
      </c>
      <c r="AI66">
        <v>676.39594812421603</v>
      </c>
      <c r="AJ66">
        <v>102.362204724409</v>
      </c>
      <c r="AK66" t="s">
        <v>85</v>
      </c>
      <c r="AL66">
        <v>2</v>
      </c>
      <c r="AM66">
        <v>863.73049768993496</v>
      </c>
      <c r="AN66">
        <v>676.39594812421603</v>
      </c>
      <c r="AO66">
        <v>102.362204724409</v>
      </c>
      <c r="AP66">
        <v>863.71548754557898</v>
      </c>
      <c r="AQ66">
        <v>510.25421584787699</v>
      </c>
      <c r="AR66">
        <v>102.362204724409</v>
      </c>
      <c r="AS66" t="s">
        <v>85</v>
      </c>
      <c r="AT66">
        <v>2</v>
      </c>
      <c r="AU66">
        <v>863.71548754557898</v>
      </c>
      <c r="AV66">
        <v>510.25421584787699</v>
      </c>
      <c r="AW66">
        <v>102.362204724409</v>
      </c>
      <c r="AX66">
        <v>863.71548754557898</v>
      </c>
      <c r="AY66">
        <v>510.25421584787699</v>
      </c>
      <c r="AZ66">
        <v>0</v>
      </c>
      <c r="BA66" t="s">
        <v>86</v>
      </c>
      <c r="BB66">
        <v>0</v>
      </c>
      <c r="BC66">
        <v>0</v>
      </c>
    </row>
    <row r="67" spans="2:55" x14ac:dyDescent="0.3">
      <c r="V67" s="18" t="str">
        <f t="shared" si="0"/>
        <v/>
      </c>
      <c r="W67" s="18" t="str">
        <f t="shared" si="1"/>
        <v/>
      </c>
      <c r="X67" s="18" t="str">
        <f t="shared" si="2"/>
        <v/>
      </c>
      <c r="Y67" s="18" t="str">
        <f t="shared" si="3"/>
        <v/>
      </c>
      <c r="Z67" s="20" t="str">
        <f t="shared" si="4"/>
        <v/>
      </c>
      <c r="AA67" s="18" t="str">
        <f t="shared" si="5"/>
        <v/>
      </c>
      <c r="AB67" s="17" t="str">
        <f t="shared" si="6"/>
        <v/>
      </c>
      <c r="AC67" s="18" t="str">
        <f t="shared" si="7"/>
        <v/>
      </c>
      <c r="AD67" s="18" t="str">
        <f t="shared" si="8"/>
        <v/>
      </c>
    </row>
    <row r="68" spans="2:55" x14ac:dyDescent="0.3">
      <c r="B68" t="s">
        <v>63</v>
      </c>
      <c r="C68" t="s">
        <v>64</v>
      </c>
      <c r="D68" t="s">
        <v>65</v>
      </c>
      <c r="E68" t="s">
        <v>66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72</v>
      </c>
      <c r="L68" t="s">
        <v>73</v>
      </c>
      <c r="M68" t="s">
        <v>74</v>
      </c>
      <c r="N68" t="s">
        <v>75</v>
      </c>
      <c r="O68" t="s">
        <v>76</v>
      </c>
      <c r="P68" t="s">
        <v>77</v>
      </c>
      <c r="Q68" t="s">
        <v>78</v>
      </c>
      <c r="R68" t="s">
        <v>79</v>
      </c>
      <c r="S68" t="s">
        <v>80</v>
      </c>
      <c r="T68" t="s">
        <v>81</v>
      </c>
      <c r="V68" s="18" t="str">
        <f t="shared" ref="V68:V70" si="9">IF(ISNUMBER($E68),$E68*0.0254,"")</f>
        <v/>
      </c>
      <c r="W68" s="18" t="str">
        <f t="shared" ref="W68:W70" si="10">IF(ISNUMBER($F68),$F68*0.0254,"")</f>
        <v/>
      </c>
      <c r="X68" s="18" t="str">
        <f t="shared" ref="X68:X70" si="11">IF(ISNUMBER($I68),$I68*0.0254,"")</f>
        <v/>
      </c>
      <c r="Y68" s="18" t="str">
        <f t="shared" ref="Y68:Y70" si="12">IF(ISNUMBER($J68),$J68*0.0254,"")</f>
        <v/>
      </c>
      <c r="Z68" s="20" t="str">
        <f t="shared" ref="Z68:Z70" si="13">IF(ISNUMBER($E68),SQRT((X68-V68)^2+(Y68-W68)^2),"")</f>
        <v/>
      </c>
      <c r="AA68" s="18" t="str">
        <f t="shared" ref="AA68:AA70" si="14">IFERROR(VALUE(TRIM(MID($C68,4,FIND("G",$C68)-4)))/100,"")</f>
        <v/>
      </c>
      <c r="AB68" s="17" t="str">
        <f t="shared" ref="AB68:AB70" si="15">IF(ISNUMBER($E68),$B68,"")</f>
        <v/>
      </c>
      <c r="AC68" s="18" t="str">
        <f t="shared" ref="AC68:AC70" si="16">IF(ISNUMBER($E68),ABS($X68-$V68),"")</f>
        <v/>
      </c>
      <c r="AD68" s="18" t="str">
        <f t="shared" ref="AD68:AD70" si="17">IF(ISNUMBER($E68),ABS($Y68-$W68),"")</f>
        <v/>
      </c>
    </row>
    <row r="69" spans="2:55" x14ac:dyDescent="0.3">
      <c r="B69" t="s">
        <v>96</v>
      </c>
      <c r="C69" t="s">
        <v>87</v>
      </c>
      <c r="D69">
        <v>4</v>
      </c>
      <c r="E69">
        <v>594.14677216828397</v>
      </c>
      <c r="F69">
        <v>804.34870404259402</v>
      </c>
      <c r="G69">
        <v>102.362204724409</v>
      </c>
      <c r="H69" t="s">
        <v>83</v>
      </c>
      <c r="I69">
        <v>594.14677216828397</v>
      </c>
      <c r="J69">
        <v>590.17547569465</v>
      </c>
      <c r="K69">
        <v>102.362204724409</v>
      </c>
      <c r="L69" t="s">
        <v>83</v>
      </c>
      <c r="M69">
        <v>594.14677216828397</v>
      </c>
      <c r="N69">
        <v>590.17547569465</v>
      </c>
      <c r="O69">
        <v>0</v>
      </c>
      <c r="P69" t="s">
        <v>84</v>
      </c>
      <c r="Q69">
        <v>594.14677216828397</v>
      </c>
      <c r="R69">
        <v>804.34870404259402</v>
      </c>
      <c r="S69">
        <v>0</v>
      </c>
      <c r="T69" t="s">
        <v>84</v>
      </c>
      <c r="U69" t="s">
        <v>85</v>
      </c>
      <c r="V69" s="18">
        <f t="shared" si="9"/>
        <v>15.091328013074412</v>
      </c>
      <c r="W69" s="18">
        <f t="shared" si="10"/>
        <v>20.430457082681887</v>
      </c>
      <c r="X69" s="18">
        <f t="shared" si="11"/>
        <v>15.091328013074412</v>
      </c>
      <c r="Y69" s="18">
        <f t="shared" si="12"/>
        <v>14.990457082644109</v>
      </c>
      <c r="Z69" s="20">
        <f t="shared" si="13"/>
        <v>5.4400000000377773</v>
      </c>
      <c r="AA69" s="18">
        <f t="shared" si="14"/>
        <v>0.25</v>
      </c>
      <c r="AB69" s="17" t="str">
        <f t="shared" si="15"/>
        <v>P5G</v>
      </c>
      <c r="AC69" s="18">
        <f t="shared" si="16"/>
        <v>0</v>
      </c>
      <c r="AD69" s="18">
        <f t="shared" si="17"/>
        <v>5.4400000000377773</v>
      </c>
      <c r="AE69">
        <v>594.14677216828397</v>
      </c>
      <c r="AF69">
        <v>590.17547569465</v>
      </c>
      <c r="AG69">
        <v>0</v>
      </c>
      <c r="AH69">
        <v>594.14677216828397</v>
      </c>
      <c r="AI69">
        <v>590.17547569465</v>
      </c>
      <c r="AJ69">
        <v>102.362204724409</v>
      </c>
      <c r="AK69" t="s">
        <v>85</v>
      </c>
      <c r="AL69">
        <v>2</v>
      </c>
      <c r="AM69">
        <v>594.14677216828397</v>
      </c>
      <c r="AN69">
        <v>590.17547569465</v>
      </c>
      <c r="AO69">
        <v>102.362204724409</v>
      </c>
      <c r="AP69">
        <v>594.14677216828397</v>
      </c>
      <c r="AQ69">
        <v>804.34870404259402</v>
      </c>
      <c r="AR69">
        <v>102.362204724409</v>
      </c>
      <c r="AS69" t="s">
        <v>85</v>
      </c>
      <c r="AT69">
        <v>2</v>
      </c>
      <c r="AU69">
        <v>594.14677216828397</v>
      </c>
      <c r="AV69">
        <v>804.34870404259402</v>
      </c>
      <c r="AW69">
        <v>102.362204724409</v>
      </c>
      <c r="AX69">
        <v>594.14677216828397</v>
      </c>
      <c r="AY69">
        <v>804.34870404259402</v>
      </c>
      <c r="AZ69">
        <v>0</v>
      </c>
      <c r="BA69" t="s">
        <v>86</v>
      </c>
      <c r="BB69">
        <v>0</v>
      </c>
      <c r="BC69">
        <v>0</v>
      </c>
    </row>
    <row r="70" spans="2:55" x14ac:dyDescent="0.3">
      <c r="V70" s="18" t="str">
        <f t="shared" si="9"/>
        <v/>
      </c>
      <c r="W70" s="18" t="str">
        <f t="shared" si="10"/>
        <v/>
      </c>
      <c r="X70" s="18" t="str">
        <f t="shared" si="11"/>
        <v/>
      </c>
      <c r="Y70" s="18" t="str">
        <f t="shared" si="12"/>
        <v/>
      </c>
      <c r="Z70" s="20" t="str">
        <f t="shared" si="13"/>
        <v/>
      </c>
      <c r="AA70" s="18" t="str">
        <f t="shared" si="14"/>
        <v/>
      </c>
      <c r="AB70" s="17" t="str">
        <f t="shared" si="15"/>
        <v/>
      </c>
      <c r="AC70" s="18" t="str">
        <f t="shared" si="16"/>
        <v/>
      </c>
      <c r="AD70" s="18" t="str">
        <f t="shared" si="17"/>
        <v/>
      </c>
    </row>
    <row r="71" spans="2:55" x14ac:dyDescent="0.3">
      <c r="B71" t="s">
        <v>63</v>
      </c>
      <c r="C71" t="s">
        <v>64</v>
      </c>
      <c r="D71" t="s">
        <v>110</v>
      </c>
      <c r="E71" t="s">
        <v>111</v>
      </c>
      <c r="F71" t="s">
        <v>112</v>
      </c>
      <c r="G71" t="s">
        <v>113</v>
      </c>
      <c r="H71" t="s">
        <v>114</v>
      </c>
      <c r="I71" t="s">
        <v>115</v>
      </c>
      <c r="J71" t="s">
        <v>116</v>
      </c>
      <c r="K71" t="s">
        <v>117</v>
      </c>
      <c r="L71" t="s">
        <v>118</v>
      </c>
      <c r="M71" t="s">
        <v>119</v>
      </c>
      <c r="N71" t="s">
        <v>120</v>
      </c>
      <c r="O71" t="s">
        <v>121</v>
      </c>
      <c r="P71" t="s">
        <v>122</v>
      </c>
    </row>
    <row r="72" spans="2:55" x14ac:dyDescent="0.3">
      <c r="B72" t="s">
        <v>23</v>
      </c>
      <c r="C72" t="s">
        <v>123</v>
      </c>
      <c r="D72">
        <v>389.42236271943602</v>
      </c>
      <c r="E72">
        <v>1878.30225229544</v>
      </c>
      <c r="F72">
        <v>102.362204724409</v>
      </c>
      <c r="G72" t="s">
        <v>83</v>
      </c>
      <c r="H72">
        <v>389.42236271943602</v>
      </c>
      <c r="I72">
        <v>1878.30225229544</v>
      </c>
      <c r="J72">
        <v>0</v>
      </c>
      <c r="K72" t="s">
        <v>84</v>
      </c>
      <c r="L72" t="s">
        <v>85</v>
      </c>
      <c r="M72">
        <v>2</v>
      </c>
      <c r="N72">
        <v>389.42236271943602</v>
      </c>
      <c r="O72">
        <v>1878.30225229544</v>
      </c>
      <c r="P72">
        <v>0</v>
      </c>
      <c r="Q72">
        <v>389.42236271943602</v>
      </c>
      <c r="R72">
        <v>1878.30225229544</v>
      </c>
      <c r="S72">
        <v>102.362204724409</v>
      </c>
    </row>
    <row r="74" spans="2:55" x14ac:dyDescent="0.3">
      <c r="B74" t="s">
        <v>31</v>
      </c>
      <c r="C74" t="s">
        <v>123</v>
      </c>
      <c r="D74">
        <v>623.67765716453403</v>
      </c>
      <c r="E74">
        <v>1878.3022522961401</v>
      </c>
      <c r="F74">
        <v>102.362204724409</v>
      </c>
      <c r="G74" t="s">
        <v>83</v>
      </c>
      <c r="H74">
        <v>623.67765716453403</v>
      </c>
      <c r="I74">
        <v>1878.3022522961401</v>
      </c>
      <c r="J74">
        <v>0</v>
      </c>
      <c r="K74" t="s">
        <v>84</v>
      </c>
      <c r="L74" t="s">
        <v>85</v>
      </c>
      <c r="M74">
        <v>2</v>
      </c>
      <c r="N74">
        <v>623.67765716453403</v>
      </c>
      <c r="O74">
        <v>1878.3022522961401</v>
      </c>
      <c r="P74">
        <v>0</v>
      </c>
      <c r="Q74">
        <v>623.67765716453403</v>
      </c>
      <c r="R74">
        <v>1878.3022522961401</v>
      </c>
      <c r="S74">
        <v>102.362204724409</v>
      </c>
    </row>
    <row r="76" spans="2:55" x14ac:dyDescent="0.3">
      <c r="B76" t="s">
        <v>107</v>
      </c>
      <c r="C76" t="s">
        <v>123</v>
      </c>
      <c r="D76">
        <v>875.96321533667196</v>
      </c>
      <c r="E76">
        <v>1878.30225229554</v>
      </c>
      <c r="F76">
        <v>102.362204724409</v>
      </c>
      <c r="G76" t="s">
        <v>83</v>
      </c>
      <c r="H76">
        <v>875.96321533667196</v>
      </c>
      <c r="I76">
        <v>1878.30225229554</v>
      </c>
      <c r="J76">
        <v>0</v>
      </c>
      <c r="K76" t="s">
        <v>84</v>
      </c>
      <c r="L76" t="s">
        <v>85</v>
      </c>
      <c r="M76">
        <v>2</v>
      </c>
      <c r="N76">
        <v>875.96321533667196</v>
      </c>
      <c r="O76">
        <v>1878.30225229554</v>
      </c>
      <c r="P76">
        <v>0</v>
      </c>
      <c r="Q76">
        <v>875.96321533667196</v>
      </c>
      <c r="R76">
        <v>1878.30225229554</v>
      </c>
      <c r="S76">
        <v>102.362204724409</v>
      </c>
    </row>
    <row r="78" spans="2:55" x14ac:dyDescent="0.3">
      <c r="B78" t="s">
        <v>63</v>
      </c>
      <c r="C78" t="s">
        <v>64</v>
      </c>
      <c r="D78" t="s">
        <v>110</v>
      </c>
      <c r="E78" t="s">
        <v>111</v>
      </c>
      <c r="F78" t="s">
        <v>112</v>
      </c>
      <c r="G78" t="s">
        <v>113</v>
      </c>
      <c r="H78" t="s">
        <v>114</v>
      </c>
      <c r="I78" t="s">
        <v>115</v>
      </c>
      <c r="J78" t="s">
        <v>116</v>
      </c>
      <c r="K78" t="s">
        <v>117</v>
      </c>
      <c r="L78" t="s">
        <v>118</v>
      </c>
      <c r="M78" t="s">
        <v>119</v>
      </c>
      <c r="N78" t="s">
        <v>120</v>
      </c>
      <c r="O78" t="s">
        <v>121</v>
      </c>
      <c r="P78" t="s">
        <v>122</v>
      </c>
    </row>
    <row r="79" spans="2:55" x14ac:dyDescent="0.3">
      <c r="B79" t="s">
        <v>25</v>
      </c>
      <c r="C79" t="s">
        <v>123</v>
      </c>
      <c r="D79">
        <v>389.42236271943602</v>
      </c>
      <c r="E79">
        <v>1657.82981135011</v>
      </c>
      <c r="F79">
        <v>102.362204724409</v>
      </c>
      <c r="G79" t="s">
        <v>83</v>
      </c>
      <c r="H79">
        <v>389.42236271943602</v>
      </c>
      <c r="I79">
        <v>1657.82981135011</v>
      </c>
      <c r="J79">
        <v>0</v>
      </c>
      <c r="K79" t="s">
        <v>84</v>
      </c>
      <c r="L79" t="s">
        <v>85</v>
      </c>
      <c r="M79">
        <v>2</v>
      </c>
      <c r="N79">
        <v>389.42236271943602</v>
      </c>
      <c r="O79">
        <v>1657.82981135011</v>
      </c>
      <c r="P79">
        <v>0</v>
      </c>
      <c r="Q79">
        <v>389.42236271943602</v>
      </c>
      <c r="R79">
        <v>1657.82981135011</v>
      </c>
      <c r="S79">
        <v>102.362204724409</v>
      </c>
    </row>
    <row r="81" spans="2:19" x14ac:dyDescent="0.3">
      <c r="B81" t="s">
        <v>28</v>
      </c>
      <c r="C81" t="s">
        <v>123</v>
      </c>
      <c r="D81">
        <v>623.677657164533</v>
      </c>
      <c r="E81">
        <v>1657.82981135044</v>
      </c>
      <c r="F81">
        <v>102.362204724409</v>
      </c>
      <c r="G81" t="s">
        <v>83</v>
      </c>
      <c r="H81">
        <v>623.677657164533</v>
      </c>
      <c r="I81">
        <v>1657.82981135044</v>
      </c>
      <c r="J81">
        <v>0</v>
      </c>
      <c r="K81" t="s">
        <v>84</v>
      </c>
      <c r="L81" t="s">
        <v>85</v>
      </c>
      <c r="M81">
        <v>2</v>
      </c>
      <c r="N81">
        <v>623.677657164533</v>
      </c>
      <c r="O81">
        <v>1657.82981135044</v>
      </c>
      <c r="P81">
        <v>0</v>
      </c>
      <c r="Q81">
        <v>623.677657164533</v>
      </c>
      <c r="R81">
        <v>1657.82981135044</v>
      </c>
      <c r="S81">
        <v>102.362204724409</v>
      </c>
    </row>
    <row r="83" spans="2:19" x14ac:dyDescent="0.3">
      <c r="B83" t="s">
        <v>108</v>
      </c>
      <c r="C83" t="s">
        <v>123</v>
      </c>
      <c r="D83">
        <v>875.96321533667299</v>
      </c>
      <c r="E83">
        <v>1657.82981134989</v>
      </c>
      <c r="F83">
        <v>102.362204724409</v>
      </c>
      <c r="G83" t="s">
        <v>83</v>
      </c>
      <c r="H83">
        <v>875.96321533667299</v>
      </c>
      <c r="I83">
        <v>1657.82981134989</v>
      </c>
      <c r="J83">
        <v>0</v>
      </c>
      <c r="K83" t="s">
        <v>84</v>
      </c>
      <c r="L83" t="s">
        <v>85</v>
      </c>
      <c r="M83">
        <v>2</v>
      </c>
      <c r="N83">
        <v>875.96321533667299</v>
      </c>
      <c r="O83">
        <v>1657.82981134989</v>
      </c>
      <c r="P83">
        <v>0</v>
      </c>
      <c r="Q83">
        <v>875.96321533667299</v>
      </c>
      <c r="R83">
        <v>1657.82981134989</v>
      </c>
      <c r="S83">
        <v>102.362204724409</v>
      </c>
    </row>
    <row r="85" spans="2:19" x14ac:dyDescent="0.3">
      <c r="B85" t="s">
        <v>63</v>
      </c>
      <c r="C85" t="s">
        <v>64</v>
      </c>
      <c r="D85" t="s">
        <v>110</v>
      </c>
      <c r="E85" t="s">
        <v>111</v>
      </c>
      <c r="F85" t="s">
        <v>112</v>
      </c>
      <c r="G85" t="s">
        <v>113</v>
      </c>
      <c r="H85" t="s">
        <v>114</v>
      </c>
      <c r="I85" t="s">
        <v>115</v>
      </c>
      <c r="J85" t="s">
        <v>116</v>
      </c>
      <c r="K85" t="s">
        <v>117</v>
      </c>
      <c r="L85" t="s">
        <v>118</v>
      </c>
      <c r="M85" t="s">
        <v>119</v>
      </c>
      <c r="N85" t="s">
        <v>120</v>
      </c>
      <c r="O85" t="s">
        <v>121</v>
      </c>
      <c r="P85" t="s">
        <v>122</v>
      </c>
    </row>
    <row r="86" spans="2:19" x14ac:dyDescent="0.3">
      <c r="B86" t="s">
        <v>26</v>
      </c>
      <c r="C86" t="s">
        <v>123</v>
      </c>
      <c r="D86">
        <v>389.42236271901299</v>
      </c>
      <c r="E86">
        <v>1460.97941764965</v>
      </c>
      <c r="F86">
        <v>102.362204724409</v>
      </c>
      <c r="G86" t="s">
        <v>83</v>
      </c>
      <c r="H86">
        <v>389.42236271901299</v>
      </c>
      <c r="I86">
        <v>1460.97941764965</v>
      </c>
      <c r="J86">
        <v>0</v>
      </c>
      <c r="K86" t="s">
        <v>84</v>
      </c>
      <c r="L86" t="s">
        <v>85</v>
      </c>
      <c r="M86">
        <v>2</v>
      </c>
      <c r="N86">
        <v>389.42236271901299</v>
      </c>
      <c r="O86">
        <v>1460.97941764965</v>
      </c>
      <c r="P86">
        <v>0</v>
      </c>
      <c r="Q86">
        <v>389.42236271901299</v>
      </c>
      <c r="R86">
        <v>1460.97941764965</v>
      </c>
      <c r="S86">
        <v>102.362204724409</v>
      </c>
    </row>
    <row r="88" spans="2:19" x14ac:dyDescent="0.3">
      <c r="B88" t="s">
        <v>29</v>
      </c>
      <c r="C88" t="s">
        <v>123</v>
      </c>
      <c r="D88">
        <v>623.67765716427698</v>
      </c>
      <c r="E88">
        <v>1460.97941764966</v>
      </c>
      <c r="F88">
        <v>102.362204724409</v>
      </c>
      <c r="G88" t="s">
        <v>83</v>
      </c>
      <c r="H88">
        <v>623.67765716427698</v>
      </c>
      <c r="I88">
        <v>1460.97941764966</v>
      </c>
      <c r="J88">
        <v>0</v>
      </c>
      <c r="K88" t="s">
        <v>84</v>
      </c>
      <c r="L88" t="s">
        <v>85</v>
      </c>
      <c r="M88">
        <v>2</v>
      </c>
      <c r="N88">
        <v>623.67765716427698</v>
      </c>
      <c r="O88">
        <v>1460.97941764966</v>
      </c>
      <c r="P88">
        <v>0</v>
      </c>
      <c r="Q88">
        <v>623.67765716427698</v>
      </c>
      <c r="R88">
        <v>1460.97941764966</v>
      </c>
      <c r="S88">
        <v>102.362204724409</v>
      </c>
    </row>
    <row r="90" spans="2:19" x14ac:dyDescent="0.3">
      <c r="B90" t="s">
        <v>109</v>
      </c>
      <c r="C90" t="s">
        <v>123</v>
      </c>
      <c r="D90">
        <v>875.9632153371</v>
      </c>
      <c r="E90">
        <v>1460.97941764967</v>
      </c>
      <c r="F90">
        <v>102.362204724409</v>
      </c>
      <c r="G90" t="s">
        <v>83</v>
      </c>
      <c r="H90">
        <v>875.9632153371</v>
      </c>
      <c r="I90">
        <v>1460.97941764967</v>
      </c>
      <c r="J90">
        <v>0</v>
      </c>
      <c r="K90" t="s">
        <v>84</v>
      </c>
      <c r="L90" t="s">
        <v>85</v>
      </c>
      <c r="M90">
        <v>2</v>
      </c>
      <c r="N90">
        <v>875.9632153371</v>
      </c>
      <c r="O90">
        <v>1460.97941764967</v>
      </c>
      <c r="P90">
        <v>0</v>
      </c>
      <c r="Q90">
        <v>875.9632153371</v>
      </c>
      <c r="R90">
        <v>1460.97941764967</v>
      </c>
      <c r="S90">
        <v>102.362204724409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EAE2-DF5C-4C06-BE83-98F9628D02C1}">
  <sheetPr filterMode="1"/>
  <dimension ref="B2:V173"/>
  <sheetViews>
    <sheetView topLeftCell="A2" workbookViewId="0">
      <selection activeCell="U5" sqref="U5"/>
    </sheetView>
  </sheetViews>
  <sheetFormatPr baseColWidth="10" defaultRowHeight="14.4" x14ac:dyDescent="0.3"/>
  <sheetData>
    <row r="2" spans="2:22" ht="62.4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3" t="s">
        <v>53</v>
      </c>
    </row>
    <row r="3" spans="2:22" hidden="1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4" t="s">
        <v>0</v>
      </c>
      <c r="P3" s="4" t="s">
        <v>1</v>
      </c>
      <c r="Q3" s="4" t="s">
        <v>54</v>
      </c>
      <c r="R3" s="4" t="s">
        <v>55</v>
      </c>
      <c r="S3" s="4" t="s">
        <v>56</v>
      </c>
      <c r="T3" s="4" t="s">
        <v>57</v>
      </c>
      <c r="U3" s="4" t="s">
        <v>58</v>
      </c>
      <c r="V3" s="4" t="s">
        <v>59</v>
      </c>
    </row>
    <row r="4" spans="2:22" x14ac:dyDescent="0.3">
      <c r="B4" s="2">
        <v>-1</v>
      </c>
      <c r="C4" s="2" t="s">
        <v>34</v>
      </c>
      <c r="D4" s="2" t="s">
        <v>14</v>
      </c>
      <c r="E4" s="2" t="s">
        <v>15</v>
      </c>
      <c r="F4" s="2"/>
      <c r="G4" s="2" t="s">
        <v>16</v>
      </c>
      <c r="H4" s="2">
        <v>-41.525599999999997</v>
      </c>
      <c r="I4" s="2">
        <v>90.757999999999996</v>
      </c>
      <c r="J4" s="2">
        <v>2.2928000000000002</v>
      </c>
      <c r="K4" s="2">
        <v>50.594000000000001</v>
      </c>
      <c r="L4" s="2">
        <v>-10.415900000000001</v>
      </c>
      <c r="M4" s="2">
        <v>74.281099999999995</v>
      </c>
      <c r="Q4" s="5" t="s">
        <v>6</v>
      </c>
      <c r="R4" s="5" t="s">
        <v>6</v>
      </c>
      <c r="S4" s="5" t="s">
        <v>10</v>
      </c>
      <c r="T4" s="5" t="s">
        <v>10</v>
      </c>
      <c r="U4" s="5" t="s">
        <v>6</v>
      </c>
      <c r="V4" s="5" t="s">
        <v>6</v>
      </c>
    </row>
    <row r="5" spans="2:22" x14ac:dyDescent="0.3">
      <c r="B5" s="2">
        <v>-1</v>
      </c>
      <c r="C5" s="2" t="s">
        <v>34</v>
      </c>
      <c r="D5" s="2" t="s">
        <v>14</v>
      </c>
      <c r="E5" s="2" t="s">
        <v>15</v>
      </c>
      <c r="F5" s="2"/>
      <c r="G5" s="2" t="s">
        <v>17</v>
      </c>
      <c r="H5" s="2">
        <v>-103.20059999999999</v>
      </c>
      <c r="I5" s="2">
        <v>90.757999999999996</v>
      </c>
      <c r="J5" s="2">
        <v>2.2928000000000002</v>
      </c>
      <c r="K5" s="2">
        <v>50.594000000000001</v>
      </c>
      <c r="L5" s="2">
        <v>-4.4546000000000001</v>
      </c>
      <c r="M5" s="2">
        <v>310.25200000000001</v>
      </c>
      <c r="O5" t="s">
        <v>34</v>
      </c>
      <c r="P5" t="s">
        <v>14</v>
      </c>
      <c r="Q5" s="6">
        <f>_xlfn.MAXIFS($I$4:$I$173,$C$4:$C$173,$O5,$D$4:$D$173,$P5)</f>
        <v>90.757999999999996</v>
      </c>
      <c r="R5" s="6">
        <f>_xlfn.MINIFS($I$4:$I$173,$C$4:$C$173,$O5,$D$4:$D$173,$P5)</f>
        <v>90.757999999999996</v>
      </c>
      <c r="S5" s="6">
        <f>_xlfn.MAXIFS($M$4:$M$173,$C$4:$C$173,$O5,$D$4:$D$173,$P5)</f>
        <v>310.25200000000001</v>
      </c>
      <c r="T5" s="6">
        <f>_xlfn.MINIFS($M$4:$M$173,$C$4:$C$173,$O5,$D$4:$D$173,$P5)</f>
        <v>74.281099999999995</v>
      </c>
      <c r="U5" s="6">
        <f>_xlfn.MAXIFS($H$4:$H$173,$C$4:$C$173,$O5,$D$4:$D$173,$P5)</f>
        <v>-41.525599999999997</v>
      </c>
      <c r="V5" s="6">
        <f>_xlfn.MINIFS($H$4:$H$173,$C$4:$C$173,$O5,$D$4:$D$173,$P5)</f>
        <v>-103.20059999999999</v>
      </c>
    </row>
    <row r="6" spans="2:22" x14ac:dyDescent="0.3">
      <c r="B6" s="2">
        <v>-1</v>
      </c>
      <c r="C6" s="2" t="s">
        <v>34</v>
      </c>
      <c r="D6" s="2" t="s">
        <v>18</v>
      </c>
      <c r="E6" s="2" t="s">
        <v>15</v>
      </c>
      <c r="F6" s="2"/>
      <c r="G6" s="2" t="s">
        <v>16</v>
      </c>
      <c r="H6" s="2">
        <v>-39.1494</v>
      </c>
      <c r="I6" s="2">
        <v>80.931700000000006</v>
      </c>
      <c r="J6" s="2">
        <v>2.1970000000000001</v>
      </c>
      <c r="K6" s="2">
        <v>48.780099999999997</v>
      </c>
      <c r="L6" s="2">
        <v>-9.5303000000000004</v>
      </c>
      <c r="M6" s="2">
        <v>84.117500000000007</v>
      </c>
      <c r="O6" t="s">
        <v>34</v>
      </c>
      <c r="P6" t="s">
        <v>18</v>
      </c>
      <c r="Q6" s="6">
        <f t="shared" ref="Q6:Q24" si="0">_xlfn.MAXIFS($I$4:$I$173,$C$4:$C$173,$O6,$D$4:$D$173,$P6)</f>
        <v>80.931700000000006</v>
      </c>
      <c r="R6" s="6">
        <f t="shared" ref="R6:R24" si="1">_xlfn.MINIFS($I$4:$I$173,$C$4:$C$173,$O6,$D$4:$D$173,$P6)</f>
        <v>80.931700000000006</v>
      </c>
      <c r="S6" s="6">
        <f t="shared" ref="S6:S24" si="2">_xlfn.MAXIFS($M$4:$M$173,$C$4:$C$173,$O6,$D$4:$D$173,$P6)</f>
        <v>294.53989999999999</v>
      </c>
      <c r="T6" s="6">
        <f t="shared" ref="T6:T24" si="3">_xlfn.MINIFS($M$4:$M$173,$C$4:$C$173,$O6,$D$4:$D$173,$P6)</f>
        <v>84.117500000000007</v>
      </c>
      <c r="U6" s="6">
        <f t="shared" ref="U6:U24" si="4">_xlfn.MAXIFS($H$4:$H$173,$C$4:$C$173,$O6,$D$4:$D$173,$P6)</f>
        <v>-39.1494</v>
      </c>
      <c r="V6" s="6">
        <f t="shared" ref="V6:V24" si="5">_xlfn.MINIFS($H$4:$H$173,$C$4:$C$173,$O6,$D$4:$D$173,$P6)</f>
        <v>-39.1494</v>
      </c>
    </row>
    <row r="7" spans="2:22" x14ac:dyDescent="0.3">
      <c r="B7" s="2">
        <v>-1</v>
      </c>
      <c r="C7" s="2" t="s">
        <v>34</v>
      </c>
      <c r="D7" s="2" t="s">
        <v>18</v>
      </c>
      <c r="E7" s="2" t="s">
        <v>15</v>
      </c>
      <c r="F7" s="2"/>
      <c r="G7" s="2" t="s">
        <v>17</v>
      </c>
      <c r="H7" s="2">
        <v>-39.1494</v>
      </c>
      <c r="I7" s="2">
        <v>80.931700000000006</v>
      </c>
      <c r="J7" s="2">
        <v>2.1970000000000001</v>
      </c>
      <c r="K7" s="2">
        <v>48.780099999999997</v>
      </c>
      <c r="L7" s="2">
        <v>-3.8182</v>
      </c>
      <c r="M7" s="2">
        <v>294.53989999999999</v>
      </c>
      <c r="O7" t="s">
        <v>34</v>
      </c>
      <c r="P7" t="s">
        <v>19</v>
      </c>
      <c r="Q7" s="6">
        <f t="shared" si="0"/>
        <v>105.40089999999999</v>
      </c>
      <c r="R7" s="6">
        <f t="shared" si="1"/>
        <v>105.40089999999999</v>
      </c>
      <c r="S7" s="6">
        <f t="shared" si="2"/>
        <v>294.39049999999997</v>
      </c>
      <c r="T7" s="6">
        <f t="shared" si="3"/>
        <v>87.946200000000005</v>
      </c>
      <c r="U7" s="6">
        <f t="shared" si="4"/>
        <v>5.0861999999999998</v>
      </c>
      <c r="V7" s="6">
        <f t="shared" si="5"/>
        <v>5.0861999999999998</v>
      </c>
    </row>
    <row r="8" spans="2:22" x14ac:dyDescent="0.3">
      <c r="B8" s="2">
        <v>-1</v>
      </c>
      <c r="C8" s="2" t="s">
        <v>34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5.0861999999999998</v>
      </c>
      <c r="I8" s="2">
        <v>105.40089999999999</v>
      </c>
      <c r="J8" s="2">
        <v>5.2073999999999998</v>
      </c>
      <c r="K8" s="2">
        <v>43.511000000000003</v>
      </c>
      <c r="L8" s="2">
        <v>3.4466999999999999</v>
      </c>
      <c r="M8" s="2">
        <v>87.946200000000005</v>
      </c>
      <c r="O8" t="s">
        <v>34</v>
      </c>
      <c r="P8" t="s">
        <v>22</v>
      </c>
      <c r="Q8" s="6">
        <f t="shared" si="0"/>
        <v>210.36680000000001</v>
      </c>
      <c r="R8" s="6">
        <f t="shared" si="1"/>
        <v>210.36680000000001</v>
      </c>
      <c r="S8" s="6">
        <f t="shared" si="2"/>
        <v>403.96660000000003</v>
      </c>
      <c r="T8" s="6">
        <f t="shared" si="3"/>
        <v>143.82210000000001</v>
      </c>
      <c r="U8" s="6">
        <f t="shared" si="4"/>
        <v>5.5206999999999997</v>
      </c>
      <c r="V8" s="6">
        <f t="shared" si="5"/>
        <v>5.5206999999999997</v>
      </c>
    </row>
    <row r="9" spans="2:22" x14ac:dyDescent="0.3">
      <c r="B9" s="2">
        <v>-1</v>
      </c>
      <c r="C9" s="2" t="s">
        <v>34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5.0861999999999998</v>
      </c>
      <c r="I9" s="2">
        <v>105.40089999999999</v>
      </c>
      <c r="J9" s="2">
        <v>5.2073999999999998</v>
      </c>
      <c r="K9" s="2">
        <v>43.511000000000003</v>
      </c>
      <c r="L9" s="2">
        <v>10.653</v>
      </c>
      <c r="M9" s="2">
        <v>294.39049999999997</v>
      </c>
      <c r="O9" t="s">
        <v>13</v>
      </c>
      <c r="P9" t="s">
        <v>14</v>
      </c>
      <c r="Q9" s="6">
        <f t="shared" si="0"/>
        <v>-21.5459</v>
      </c>
      <c r="R9" s="6">
        <f t="shared" si="1"/>
        <v>-21.5459</v>
      </c>
      <c r="S9" s="6">
        <f t="shared" si="2"/>
        <v>27.376200000000001</v>
      </c>
      <c r="T9" s="6">
        <f t="shared" si="3"/>
        <v>-28.6432</v>
      </c>
      <c r="U9" s="6">
        <f t="shared" si="4"/>
        <v>-36.7532</v>
      </c>
      <c r="V9" s="6">
        <f t="shared" si="5"/>
        <v>-70.813199999999995</v>
      </c>
    </row>
    <row r="10" spans="2:22" x14ac:dyDescent="0.3">
      <c r="B10" s="2">
        <v>-1</v>
      </c>
      <c r="C10" s="2" t="s">
        <v>34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5.5206999999999997</v>
      </c>
      <c r="I10" s="2">
        <v>210.36680000000001</v>
      </c>
      <c r="J10" s="2">
        <v>0.42370000000000002</v>
      </c>
      <c r="K10" s="2">
        <v>4.4032999999999998</v>
      </c>
      <c r="L10" s="2">
        <v>0.87119999999999997</v>
      </c>
      <c r="M10" s="2">
        <v>143.82210000000001</v>
      </c>
      <c r="O10" t="s">
        <v>13</v>
      </c>
      <c r="P10" t="s">
        <v>18</v>
      </c>
      <c r="Q10" s="6">
        <f t="shared" si="0"/>
        <v>-23.470500000000001</v>
      </c>
      <c r="R10" s="6">
        <f t="shared" si="1"/>
        <v>-23.470500000000001</v>
      </c>
      <c r="S10" s="6">
        <f t="shared" si="2"/>
        <v>28.663699999999999</v>
      </c>
      <c r="T10" s="6">
        <f t="shared" si="3"/>
        <v>-32.359499999999997</v>
      </c>
      <c r="U10" s="6">
        <f t="shared" si="4"/>
        <v>-35.107500000000002</v>
      </c>
      <c r="V10" s="6">
        <f t="shared" si="5"/>
        <v>-35.107500000000002</v>
      </c>
    </row>
    <row r="11" spans="2:22" x14ac:dyDescent="0.3">
      <c r="B11" s="2">
        <v>-1</v>
      </c>
      <c r="C11" s="2" t="s">
        <v>34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5.5206999999999997</v>
      </c>
      <c r="I11" s="2">
        <v>210.36680000000001</v>
      </c>
      <c r="J11" s="2">
        <v>0.42370000000000002</v>
      </c>
      <c r="K11" s="2">
        <v>4.4032999999999998</v>
      </c>
      <c r="L11" s="2">
        <v>1.2684</v>
      </c>
      <c r="M11" s="2">
        <v>403.96660000000003</v>
      </c>
      <c r="O11" t="s">
        <v>13</v>
      </c>
      <c r="P11" t="s">
        <v>19</v>
      </c>
      <c r="Q11" s="6">
        <f t="shared" si="0"/>
        <v>156.93260000000001</v>
      </c>
      <c r="R11" s="6">
        <f t="shared" si="1"/>
        <v>156.93260000000001</v>
      </c>
      <c r="S11" s="6">
        <f t="shared" si="2"/>
        <v>273.4855</v>
      </c>
      <c r="T11" s="6">
        <f t="shared" si="3"/>
        <v>134.77119999999999</v>
      </c>
      <c r="U11" s="6">
        <f t="shared" si="4"/>
        <v>3.1063999999999998</v>
      </c>
      <c r="V11" s="6">
        <f t="shared" si="5"/>
        <v>3.1063999999999998</v>
      </c>
    </row>
    <row r="12" spans="2:22" hidden="1" x14ac:dyDescent="0.3">
      <c r="B12" s="2">
        <v>-1</v>
      </c>
      <c r="C12" s="2" t="s">
        <v>34</v>
      </c>
      <c r="D12" s="2" t="s">
        <v>23</v>
      </c>
      <c r="E12" s="2" t="s">
        <v>24</v>
      </c>
      <c r="F12" s="2"/>
      <c r="G12" s="2" t="s">
        <v>16</v>
      </c>
      <c r="H12" s="2">
        <v>-58.135899999999999</v>
      </c>
      <c r="I12" s="2">
        <v>127.0612</v>
      </c>
      <c r="J12" s="2">
        <v>3.2099000000000002</v>
      </c>
      <c r="K12" s="2">
        <v>70.831599999999995</v>
      </c>
      <c r="L12" s="2">
        <v>-14.5823</v>
      </c>
      <c r="M12" s="2">
        <v>103.9935</v>
      </c>
      <c r="O12" t="s">
        <v>13</v>
      </c>
      <c r="P12" t="s">
        <v>22</v>
      </c>
      <c r="Q12" s="6">
        <f t="shared" si="0"/>
        <v>34.633800000000001</v>
      </c>
      <c r="R12" s="6">
        <f t="shared" si="1"/>
        <v>34.633800000000001</v>
      </c>
      <c r="S12" s="6">
        <f t="shared" si="2"/>
        <v>68.273499999999999</v>
      </c>
      <c r="T12" s="6">
        <f t="shared" si="3"/>
        <v>34.488999999999997</v>
      </c>
      <c r="U12" s="6">
        <f t="shared" si="4"/>
        <v>12.2056</v>
      </c>
      <c r="V12" s="6">
        <f t="shared" si="5"/>
        <v>12.2056</v>
      </c>
    </row>
    <row r="13" spans="2:22" hidden="1" x14ac:dyDescent="0.3">
      <c r="B13" s="2">
        <v>-1</v>
      </c>
      <c r="C13" s="2" t="s">
        <v>34</v>
      </c>
      <c r="D13" s="2" t="s">
        <v>23</v>
      </c>
      <c r="E13" s="2" t="s">
        <v>24</v>
      </c>
      <c r="F13" s="2"/>
      <c r="G13" s="2" t="s">
        <v>17</v>
      </c>
      <c r="H13" s="2">
        <v>-144.48089999999999</v>
      </c>
      <c r="I13" s="2">
        <v>127.0612</v>
      </c>
      <c r="J13" s="2">
        <v>3.2099000000000002</v>
      </c>
      <c r="K13" s="2">
        <v>70.831599999999995</v>
      </c>
      <c r="L13" s="2">
        <v>-6.2365000000000004</v>
      </c>
      <c r="M13" s="2">
        <v>434.3528</v>
      </c>
      <c r="O13" t="s">
        <v>35</v>
      </c>
      <c r="P13" t="s">
        <v>14</v>
      </c>
      <c r="Q13" s="6">
        <f t="shared" si="0"/>
        <v>-19.941400000000002</v>
      </c>
      <c r="R13" s="6">
        <f t="shared" si="1"/>
        <v>-19.941400000000002</v>
      </c>
      <c r="S13" s="6">
        <f t="shared" si="2"/>
        <v>52.625500000000002</v>
      </c>
      <c r="T13" s="6">
        <f t="shared" si="3"/>
        <v>0.77790000000000004</v>
      </c>
      <c r="U13" s="6">
        <f t="shared" si="4"/>
        <v>-39.374899999999997</v>
      </c>
      <c r="V13" s="6">
        <f t="shared" si="5"/>
        <v>-78.660899999999998</v>
      </c>
    </row>
    <row r="14" spans="2:22" hidden="1" x14ac:dyDescent="0.3">
      <c r="B14" s="2">
        <v>-1</v>
      </c>
      <c r="C14" s="2" t="s">
        <v>34</v>
      </c>
      <c r="D14" s="2" t="s">
        <v>25</v>
      </c>
      <c r="E14" s="2" t="s">
        <v>24</v>
      </c>
      <c r="F14" s="2"/>
      <c r="G14" s="2" t="s">
        <v>16</v>
      </c>
      <c r="H14" s="2">
        <v>-112.46980000000001</v>
      </c>
      <c r="I14" s="2">
        <v>238.40029999999999</v>
      </c>
      <c r="J14" s="2">
        <v>6.2664999999999997</v>
      </c>
      <c r="K14" s="2">
        <v>138.761</v>
      </c>
      <c r="L14" s="2">
        <v>-27.747599999999998</v>
      </c>
      <c r="M14" s="2">
        <v>223.72540000000001</v>
      </c>
      <c r="O14" t="s">
        <v>35</v>
      </c>
      <c r="P14" t="s">
        <v>18</v>
      </c>
      <c r="Q14" s="6">
        <f t="shared" si="0"/>
        <v>-11.4693</v>
      </c>
      <c r="R14" s="6">
        <f t="shared" si="1"/>
        <v>-11.4693</v>
      </c>
      <c r="S14" s="6">
        <f t="shared" si="2"/>
        <v>36.271299999999997</v>
      </c>
      <c r="T14" s="6">
        <f t="shared" si="3"/>
        <v>6.4511000000000003</v>
      </c>
      <c r="U14" s="6">
        <f t="shared" si="4"/>
        <v>-38.273400000000002</v>
      </c>
      <c r="V14" s="6">
        <f t="shared" si="5"/>
        <v>-38.273400000000002</v>
      </c>
    </row>
    <row r="15" spans="2:22" hidden="1" x14ac:dyDescent="0.3">
      <c r="B15" s="2">
        <v>-1</v>
      </c>
      <c r="C15" s="2" t="s">
        <v>34</v>
      </c>
      <c r="D15" s="2" t="s">
        <v>25</v>
      </c>
      <c r="E15" s="2" t="s">
        <v>24</v>
      </c>
      <c r="F15" s="2"/>
      <c r="G15" s="2" t="s">
        <v>17</v>
      </c>
      <c r="H15" s="2">
        <v>-186.47980000000001</v>
      </c>
      <c r="I15" s="2">
        <v>238.40029999999999</v>
      </c>
      <c r="J15" s="2">
        <v>6.2664999999999997</v>
      </c>
      <c r="K15" s="2">
        <v>138.761</v>
      </c>
      <c r="L15" s="2">
        <v>-11.454800000000001</v>
      </c>
      <c r="M15" s="2">
        <v>843.56629999999996</v>
      </c>
      <c r="O15" t="s">
        <v>35</v>
      </c>
      <c r="P15" t="s">
        <v>19</v>
      </c>
      <c r="Q15" s="6">
        <f t="shared" si="0"/>
        <v>77.866600000000005</v>
      </c>
      <c r="R15" s="6">
        <f t="shared" si="1"/>
        <v>77.866600000000005</v>
      </c>
      <c r="S15" s="6">
        <f t="shared" si="2"/>
        <v>147.5598</v>
      </c>
      <c r="T15" s="6">
        <f t="shared" si="3"/>
        <v>57.896500000000003</v>
      </c>
      <c r="U15" s="6">
        <f t="shared" si="4"/>
        <v>21.565000000000001</v>
      </c>
      <c r="V15" s="6">
        <f t="shared" si="5"/>
        <v>21.565000000000001</v>
      </c>
    </row>
    <row r="16" spans="2:22" hidden="1" x14ac:dyDescent="0.3">
      <c r="B16" s="2">
        <v>-1</v>
      </c>
      <c r="C16" s="2" t="s">
        <v>34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-30.252300000000002</v>
      </c>
      <c r="I16" s="2">
        <v>229.24340000000001</v>
      </c>
      <c r="J16" s="2">
        <v>9.3537999999999997</v>
      </c>
      <c r="K16" s="2">
        <v>106.45</v>
      </c>
      <c r="L16" s="2">
        <v>-4.5488999999999997</v>
      </c>
      <c r="M16" s="2">
        <v>189.9776</v>
      </c>
      <c r="O16" t="s">
        <v>35</v>
      </c>
      <c r="P16" t="s">
        <v>22</v>
      </c>
      <c r="Q16" s="6">
        <f t="shared" si="0"/>
        <v>190.22909999999999</v>
      </c>
      <c r="R16" s="6">
        <f t="shared" si="1"/>
        <v>190.22909999999999</v>
      </c>
      <c r="S16" s="6">
        <f t="shared" si="2"/>
        <v>401.17939999999999</v>
      </c>
      <c r="T16" s="6">
        <f t="shared" si="3"/>
        <v>93.479600000000005</v>
      </c>
      <c r="U16" s="6">
        <f t="shared" si="4"/>
        <v>7.6820000000000004</v>
      </c>
      <c r="V16" s="6">
        <f t="shared" si="5"/>
        <v>7.6820000000000004</v>
      </c>
    </row>
    <row r="17" spans="2:22" hidden="1" x14ac:dyDescent="0.3">
      <c r="B17" s="2">
        <v>-1</v>
      </c>
      <c r="C17" s="2" t="s">
        <v>34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-85.759900000000002</v>
      </c>
      <c r="I17" s="2">
        <v>229.24340000000001</v>
      </c>
      <c r="J17" s="2">
        <v>9.3537999999999997</v>
      </c>
      <c r="K17" s="2">
        <v>106.45</v>
      </c>
      <c r="L17" s="2">
        <v>10.904999999999999</v>
      </c>
      <c r="M17" s="2">
        <v>691.37350000000004</v>
      </c>
      <c r="O17" t="s">
        <v>36</v>
      </c>
      <c r="P17" t="s">
        <v>14</v>
      </c>
      <c r="Q17" s="6">
        <f t="shared" si="0"/>
        <v>4.8445</v>
      </c>
      <c r="R17" s="6">
        <f t="shared" si="1"/>
        <v>4.8445</v>
      </c>
      <c r="S17" s="6">
        <f t="shared" si="2"/>
        <v>0.19009999999999999</v>
      </c>
      <c r="T17" s="6">
        <f t="shared" si="3"/>
        <v>-12.4054</v>
      </c>
      <c r="U17" s="6">
        <f t="shared" si="4"/>
        <v>-11.7676</v>
      </c>
      <c r="V17" s="6">
        <f t="shared" si="5"/>
        <v>-16.122599999999998</v>
      </c>
    </row>
    <row r="18" spans="2:22" hidden="1" x14ac:dyDescent="0.3">
      <c r="B18" s="2">
        <v>-1</v>
      </c>
      <c r="C18" s="2" t="s">
        <v>34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-44.4938</v>
      </c>
      <c r="I18" s="2">
        <v>-65.879000000000005</v>
      </c>
      <c r="J18" s="2">
        <v>-5.2267999999999999</v>
      </c>
      <c r="K18" s="2">
        <v>-15.380800000000001</v>
      </c>
      <c r="L18" s="2">
        <v>-14.1997</v>
      </c>
      <c r="M18" s="2">
        <v>-56.271599999999999</v>
      </c>
      <c r="O18" t="s">
        <v>36</v>
      </c>
      <c r="P18" t="s">
        <v>18</v>
      </c>
      <c r="Q18" s="6">
        <f t="shared" si="0"/>
        <v>4.7552000000000003</v>
      </c>
      <c r="R18" s="6">
        <f t="shared" si="1"/>
        <v>4.7552000000000003</v>
      </c>
      <c r="S18" s="6">
        <f t="shared" si="2"/>
        <v>1.998</v>
      </c>
      <c r="T18" s="6">
        <f t="shared" si="3"/>
        <v>-10.365500000000001</v>
      </c>
      <c r="U18" s="6">
        <f t="shared" si="4"/>
        <v>-8.4845000000000006</v>
      </c>
      <c r="V18" s="6">
        <f t="shared" si="5"/>
        <v>-8.4845000000000006</v>
      </c>
    </row>
    <row r="19" spans="2:22" hidden="1" x14ac:dyDescent="0.3">
      <c r="B19" s="2">
        <v>-1</v>
      </c>
      <c r="C19" s="2" t="s">
        <v>34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-100.0013</v>
      </c>
      <c r="I19" s="2">
        <v>-65.879000000000005</v>
      </c>
      <c r="J19" s="2">
        <v>-5.2267999999999999</v>
      </c>
      <c r="K19" s="2">
        <v>-15.380800000000001</v>
      </c>
      <c r="L19" s="2">
        <v>-18.923400000000001</v>
      </c>
      <c r="M19" s="2">
        <v>-132.91990000000001</v>
      </c>
      <c r="O19" t="s">
        <v>36</v>
      </c>
      <c r="P19" t="s">
        <v>19</v>
      </c>
      <c r="Q19" s="6">
        <f t="shared" si="0"/>
        <v>37.222499999999997</v>
      </c>
      <c r="R19" s="6">
        <f t="shared" si="1"/>
        <v>37.222499999999997</v>
      </c>
      <c r="S19" s="6">
        <f t="shared" si="2"/>
        <v>52.435299999999998</v>
      </c>
      <c r="T19" s="6">
        <f t="shared" si="3"/>
        <v>44.352800000000002</v>
      </c>
      <c r="U19" s="6">
        <f t="shared" si="4"/>
        <v>2.8755000000000002</v>
      </c>
      <c r="V19" s="6">
        <f t="shared" si="5"/>
        <v>2.8755000000000002</v>
      </c>
    </row>
    <row r="20" spans="2:22" hidden="1" x14ac:dyDescent="0.3">
      <c r="B20" s="2">
        <v>-1</v>
      </c>
      <c r="C20" s="2" t="s">
        <v>34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-81.859399999999994</v>
      </c>
      <c r="I20" s="2">
        <v>337.40249999999997</v>
      </c>
      <c r="J20" s="2">
        <v>12.2386</v>
      </c>
      <c r="K20" s="2">
        <v>170.4084</v>
      </c>
      <c r="L20" s="2">
        <v>-17.204000000000001</v>
      </c>
      <c r="M20" s="2">
        <v>296.37950000000001</v>
      </c>
      <c r="O20" t="s">
        <v>36</v>
      </c>
      <c r="P20" t="s">
        <v>22</v>
      </c>
      <c r="Q20" s="6">
        <f t="shared" si="0"/>
        <v>1.5129999999999999</v>
      </c>
      <c r="R20" s="6">
        <f t="shared" si="1"/>
        <v>1.5129999999999999</v>
      </c>
      <c r="S20" s="6">
        <f t="shared" si="2"/>
        <v>4.9767999999999999</v>
      </c>
      <c r="T20" s="6">
        <f t="shared" si="3"/>
        <v>3.7109000000000001</v>
      </c>
      <c r="U20" s="6">
        <f t="shared" si="4"/>
        <v>3.2612999999999999</v>
      </c>
      <c r="V20" s="6">
        <f t="shared" si="5"/>
        <v>3.2612999999999999</v>
      </c>
    </row>
    <row r="21" spans="2:22" hidden="1" x14ac:dyDescent="0.3">
      <c r="B21" s="2">
        <v>-1</v>
      </c>
      <c r="C21" s="2" t="s">
        <v>34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-155.86949999999999</v>
      </c>
      <c r="I21" s="2">
        <v>337.40249999999997</v>
      </c>
      <c r="J21" s="2">
        <v>12.2386</v>
      </c>
      <c r="K21" s="2">
        <v>170.4084</v>
      </c>
      <c r="L21" s="2">
        <v>5.7504</v>
      </c>
      <c r="M21" s="2">
        <v>1078.989</v>
      </c>
      <c r="O21" t="s">
        <v>37</v>
      </c>
      <c r="P21" t="s">
        <v>14</v>
      </c>
      <c r="Q21" s="6">
        <f t="shared" si="0"/>
        <v>-14.301</v>
      </c>
      <c r="R21" s="6">
        <f t="shared" si="1"/>
        <v>-14.301</v>
      </c>
      <c r="S21" s="6">
        <f t="shared" si="2"/>
        <v>106.985</v>
      </c>
      <c r="T21" s="6">
        <f t="shared" si="3"/>
        <v>69.802400000000006</v>
      </c>
      <c r="U21" s="6">
        <f t="shared" si="4"/>
        <v>0.1522</v>
      </c>
      <c r="V21" s="6">
        <f t="shared" si="5"/>
        <v>-12.191800000000001</v>
      </c>
    </row>
    <row r="22" spans="2:22" hidden="1" x14ac:dyDescent="0.3">
      <c r="B22" s="2">
        <v>-1</v>
      </c>
      <c r="C22" s="2" t="s">
        <v>34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-96.100800000000007</v>
      </c>
      <c r="I22" s="2">
        <v>42.280099999999997</v>
      </c>
      <c r="J22" s="2">
        <v>-2.3420000000000001</v>
      </c>
      <c r="K22" s="2">
        <v>48.577500000000001</v>
      </c>
      <c r="L22" s="2">
        <v>-26.854900000000001</v>
      </c>
      <c r="M22" s="2">
        <v>50.130200000000002</v>
      </c>
      <c r="O22" t="s">
        <v>37</v>
      </c>
      <c r="P22" t="s">
        <v>18</v>
      </c>
      <c r="Q22" s="6">
        <f t="shared" si="0"/>
        <v>-8.9324999999999992</v>
      </c>
      <c r="R22" s="6">
        <f t="shared" si="1"/>
        <v>-8.9324999999999992</v>
      </c>
      <c r="S22" s="6">
        <f t="shared" si="2"/>
        <v>50.361499999999999</v>
      </c>
      <c r="T22" s="6">
        <f t="shared" si="3"/>
        <v>27.136900000000001</v>
      </c>
      <c r="U22" s="6">
        <f t="shared" si="4"/>
        <v>-13.2324</v>
      </c>
      <c r="V22" s="6">
        <f t="shared" si="5"/>
        <v>-13.2324</v>
      </c>
    </row>
    <row r="23" spans="2:22" hidden="1" x14ac:dyDescent="0.3">
      <c r="B23" s="2">
        <v>-1</v>
      </c>
      <c r="C23" s="2" t="s">
        <v>34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-170.11089999999999</v>
      </c>
      <c r="I23" s="2">
        <v>42.280099999999997</v>
      </c>
      <c r="J23" s="2">
        <v>-2.3420000000000001</v>
      </c>
      <c r="K23" s="2">
        <v>48.577500000000001</v>
      </c>
      <c r="L23" s="2">
        <v>-24.077999999999999</v>
      </c>
      <c r="M23" s="2">
        <v>254.69560000000001</v>
      </c>
      <c r="O23" t="s">
        <v>37</v>
      </c>
      <c r="P23" t="s">
        <v>19</v>
      </c>
      <c r="Q23" s="6">
        <f t="shared" si="0"/>
        <v>17.286999999999999</v>
      </c>
      <c r="R23" s="6">
        <f t="shared" si="1"/>
        <v>17.286999999999999</v>
      </c>
      <c r="S23" s="6">
        <f t="shared" si="2"/>
        <v>38.273899999999998</v>
      </c>
      <c r="T23" s="6">
        <f t="shared" si="3"/>
        <v>32.764400000000002</v>
      </c>
      <c r="U23" s="6">
        <f t="shared" si="4"/>
        <v>20.284800000000001</v>
      </c>
      <c r="V23" s="6">
        <f t="shared" si="5"/>
        <v>20.284800000000001</v>
      </c>
    </row>
    <row r="24" spans="2:22" hidden="1" x14ac:dyDescent="0.3">
      <c r="B24" s="2">
        <v>-1</v>
      </c>
      <c r="C24" s="2" t="s">
        <v>34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-81.251199999999997</v>
      </c>
      <c r="I24" s="2">
        <v>484.35489999999999</v>
      </c>
      <c r="J24" s="2">
        <v>5.5415000000000001</v>
      </c>
      <c r="K24" s="2">
        <v>115.6576</v>
      </c>
      <c r="L24" s="2">
        <v>-20.809799999999999</v>
      </c>
      <c r="M24" s="2">
        <v>374.60579999999999</v>
      </c>
      <c r="O24" t="s">
        <v>37</v>
      </c>
      <c r="P24" t="s">
        <v>22</v>
      </c>
      <c r="Q24" s="6">
        <f t="shared" si="0"/>
        <v>58.819499999999998</v>
      </c>
      <c r="R24" s="6">
        <f t="shared" si="1"/>
        <v>58.819499999999998</v>
      </c>
      <c r="S24" s="6">
        <f t="shared" si="2"/>
        <v>125.3613</v>
      </c>
      <c r="T24" s="6">
        <f t="shared" si="3"/>
        <v>33.695500000000003</v>
      </c>
      <c r="U24" s="6">
        <f t="shared" si="4"/>
        <v>2.8077999999999999</v>
      </c>
      <c r="V24" s="6">
        <f t="shared" si="5"/>
        <v>2.8077999999999999</v>
      </c>
    </row>
    <row r="25" spans="2:22" hidden="1" x14ac:dyDescent="0.3">
      <c r="B25" s="2">
        <v>-1</v>
      </c>
      <c r="C25" s="2" t="s">
        <v>34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-155.2612</v>
      </c>
      <c r="I25" s="2">
        <v>484.35489999999999</v>
      </c>
      <c r="J25" s="2">
        <v>5.5415000000000001</v>
      </c>
      <c r="K25" s="2">
        <v>115.6576</v>
      </c>
      <c r="L25" s="2">
        <v>-7.3880999999999997</v>
      </c>
      <c r="M25" s="2">
        <v>1232.3955000000001</v>
      </c>
    </row>
    <row r="26" spans="2:22" hidden="1" x14ac:dyDescent="0.3">
      <c r="B26" s="2">
        <v>-1</v>
      </c>
      <c r="C26" s="2" t="s">
        <v>34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-96.709100000000007</v>
      </c>
      <c r="I26" s="2">
        <v>-104.6722</v>
      </c>
      <c r="J26" s="2">
        <v>4.3551000000000002</v>
      </c>
      <c r="K26" s="2">
        <v>103.3283</v>
      </c>
      <c r="L26" s="2">
        <v>-23.249099999999999</v>
      </c>
      <c r="M26" s="2">
        <v>-28.0961</v>
      </c>
    </row>
    <row r="27" spans="2:22" hidden="1" x14ac:dyDescent="0.3">
      <c r="B27" s="2">
        <v>-1</v>
      </c>
      <c r="C27" s="2" t="s">
        <v>34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-170.7191</v>
      </c>
      <c r="I27" s="2">
        <v>-104.6722</v>
      </c>
      <c r="J27" s="2">
        <v>4.3551000000000002</v>
      </c>
      <c r="K27" s="2">
        <v>103.3283</v>
      </c>
      <c r="L27" s="2">
        <v>-10.939500000000001</v>
      </c>
      <c r="M27" s="2">
        <v>101.2891</v>
      </c>
    </row>
    <row r="28" spans="2:22" hidden="1" x14ac:dyDescent="0.3">
      <c r="B28" s="2">
        <v>-1</v>
      </c>
      <c r="C28" s="2" t="s">
        <v>34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-29.644100000000002</v>
      </c>
      <c r="I28" s="2">
        <v>484.35489999999999</v>
      </c>
      <c r="J28" s="2">
        <v>12.2386</v>
      </c>
      <c r="K28" s="2">
        <v>170.4084</v>
      </c>
      <c r="L28" s="2">
        <v>-4.5488999999999997</v>
      </c>
      <c r="M28" s="2">
        <v>374.60579999999999</v>
      </c>
    </row>
    <row r="29" spans="2:22" hidden="1" x14ac:dyDescent="0.3">
      <c r="B29" s="2">
        <v>-1</v>
      </c>
      <c r="C29" s="2" t="s">
        <v>34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-85.151600000000002</v>
      </c>
      <c r="I29" s="2">
        <v>484.35489999999999</v>
      </c>
      <c r="J29" s="2">
        <v>12.2386</v>
      </c>
      <c r="K29" s="2">
        <v>170.4084</v>
      </c>
      <c r="L29" s="2">
        <v>10.904999999999999</v>
      </c>
      <c r="M29" s="2">
        <v>1232.3955000000001</v>
      </c>
    </row>
    <row r="30" spans="2:22" hidden="1" x14ac:dyDescent="0.3">
      <c r="B30" s="2">
        <v>-1</v>
      </c>
      <c r="C30" s="2" t="s">
        <v>34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-112.46980000000001</v>
      </c>
      <c r="I30" s="2">
        <v>-212.8313</v>
      </c>
      <c r="J30" s="2">
        <v>-5.2267999999999999</v>
      </c>
      <c r="K30" s="2">
        <v>-15.380800000000001</v>
      </c>
      <c r="L30" s="2">
        <v>-27.747599999999998</v>
      </c>
      <c r="M30" s="2">
        <v>-134.49799999999999</v>
      </c>
    </row>
    <row r="31" spans="2:22" hidden="1" x14ac:dyDescent="0.3">
      <c r="B31" s="2">
        <v>-1</v>
      </c>
      <c r="C31" s="2" t="s">
        <v>34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-186.47980000000001</v>
      </c>
      <c r="I31" s="2">
        <v>-212.8313</v>
      </c>
      <c r="J31" s="2">
        <v>-5.2267999999999999</v>
      </c>
      <c r="K31" s="2">
        <v>-15.380800000000001</v>
      </c>
      <c r="L31" s="2">
        <v>-24.077999999999999</v>
      </c>
      <c r="M31" s="2">
        <v>-286.32639999999998</v>
      </c>
    </row>
    <row r="32" spans="2:22" hidden="1" x14ac:dyDescent="0.3">
      <c r="B32" s="2">
        <v>-1</v>
      </c>
      <c r="C32" s="2" t="s">
        <v>34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-29.644100000000002</v>
      </c>
      <c r="I32" s="2">
        <v>376.19580000000002</v>
      </c>
      <c r="J32" s="2">
        <v>2.6566999999999998</v>
      </c>
      <c r="K32" s="2">
        <v>51.699199999999998</v>
      </c>
      <c r="L32" s="2">
        <v>-8.1547000000000001</v>
      </c>
      <c r="M32" s="2">
        <v>268.20389999999998</v>
      </c>
    </row>
    <row r="33" spans="2:13" hidden="1" x14ac:dyDescent="0.3">
      <c r="B33" s="2">
        <v>-1</v>
      </c>
      <c r="C33" s="2" t="s">
        <v>34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-85.151600000000002</v>
      </c>
      <c r="I33" s="2">
        <v>376.19580000000002</v>
      </c>
      <c r="J33" s="2">
        <v>2.6566999999999998</v>
      </c>
      <c r="K33" s="2">
        <v>51.699199999999998</v>
      </c>
      <c r="L33" s="2">
        <v>-2.2334999999999998</v>
      </c>
      <c r="M33" s="2">
        <v>844.78</v>
      </c>
    </row>
    <row r="34" spans="2:13" hidden="1" x14ac:dyDescent="0.3">
      <c r="B34" s="2">
        <v>-1</v>
      </c>
      <c r="C34" s="2" t="s">
        <v>34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-45.101999999999997</v>
      </c>
      <c r="I34" s="2">
        <v>-212.8313</v>
      </c>
      <c r="J34" s="2">
        <v>1.4702999999999999</v>
      </c>
      <c r="K34" s="2">
        <v>39.369999999999997</v>
      </c>
      <c r="L34" s="2">
        <v>-10.5939</v>
      </c>
      <c r="M34" s="2">
        <v>-134.49799999999999</v>
      </c>
    </row>
    <row r="35" spans="2:13" hidden="1" x14ac:dyDescent="0.3">
      <c r="B35" s="2">
        <v>-1</v>
      </c>
      <c r="C35" s="2" t="s">
        <v>34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-100.6095</v>
      </c>
      <c r="I35" s="2">
        <v>-212.8313</v>
      </c>
      <c r="J35" s="2">
        <v>1.4702999999999999</v>
      </c>
      <c r="K35" s="2">
        <v>39.369999999999997</v>
      </c>
      <c r="L35" s="2">
        <v>-5.7849000000000004</v>
      </c>
      <c r="M35" s="2">
        <v>-286.32639999999998</v>
      </c>
    </row>
    <row r="36" spans="2:13" hidden="1" x14ac:dyDescent="0.3">
      <c r="B36" s="2">
        <v>-1</v>
      </c>
      <c r="C36" s="2" t="s">
        <v>34</v>
      </c>
      <c r="D36" s="2" t="s">
        <v>32</v>
      </c>
      <c r="E36" s="2" t="s">
        <v>24</v>
      </c>
      <c r="F36" s="2"/>
      <c r="G36" s="2" t="s">
        <v>16</v>
      </c>
      <c r="H36" s="2">
        <v>-80.674999999999997</v>
      </c>
      <c r="I36" s="2">
        <v>171.68969999999999</v>
      </c>
      <c r="J36" s="2">
        <v>4.4897999999999998</v>
      </c>
      <c r="K36" s="2">
        <v>99.374099999999999</v>
      </c>
      <c r="L36" s="2">
        <v>-19.946200000000001</v>
      </c>
      <c r="M36" s="2">
        <v>158.39859999999999</v>
      </c>
    </row>
    <row r="37" spans="2:13" hidden="1" x14ac:dyDescent="0.3">
      <c r="B37" s="2">
        <v>-1</v>
      </c>
      <c r="C37" s="2" t="s">
        <v>34</v>
      </c>
      <c r="D37" s="2" t="s">
        <v>32</v>
      </c>
      <c r="E37" s="2" t="s">
        <v>24</v>
      </c>
      <c r="F37" s="2"/>
      <c r="G37" s="2" t="s">
        <v>17</v>
      </c>
      <c r="H37" s="2">
        <v>-142.35</v>
      </c>
      <c r="I37" s="2">
        <v>171.68969999999999</v>
      </c>
      <c r="J37" s="2">
        <v>4.4897999999999998</v>
      </c>
      <c r="K37" s="2">
        <v>99.374099999999999</v>
      </c>
      <c r="L37" s="2">
        <v>-8.2728999999999999</v>
      </c>
      <c r="M37" s="2">
        <v>604.79190000000006</v>
      </c>
    </row>
    <row r="38" spans="2:13" x14ac:dyDescent="0.3">
      <c r="B38" s="2">
        <v>-1</v>
      </c>
      <c r="C38" s="2" t="s">
        <v>13</v>
      </c>
      <c r="D38" s="2" t="s">
        <v>14</v>
      </c>
      <c r="E38" s="2" t="s">
        <v>15</v>
      </c>
      <c r="F38" s="2"/>
      <c r="G38" s="2" t="s">
        <v>16</v>
      </c>
      <c r="H38" s="2">
        <v>-36.7532</v>
      </c>
      <c r="I38" s="2">
        <v>-21.5459</v>
      </c>
      <c r="J38" s="2">
        <v>8.5309000000000008</v>
      </c>
      <c r="K38" s="2">
        <v>2.1196000000000002</v>
      </c>
      <c r="L38" s="2">
        <v>-14.944000000000001</v>
      </c>
      <c r="M38" s="2">
        <v>27.376200000000001</v>
      </c>
    </row>
    <row r="39" spans="2:13" x14ac:dyDescent="0.3">
      <c r="B39" s="2">
        <v>-1</v>
      </c>
      <c r="C39" s="2" t="s">
        <v>13</v>
      </c>
      <c r="D39" s="2" t="s">
        <v>14</v>
      </c>
      <c r="E39" s="2" t="s">
        <v>15</v>
      </c>
      <c r="F39" s="2"/>
      <c r="G39" s="2" t="s">
        <v>17</v>
      </c>
      <c r="H39" s="2">
        <v>-70.813199999999995</v>
      </c>
      <c r="I39" s="2">
        <v>-21.5459</v>
      </c>
      <c r="J39" s="2">
        <v>8.5309000000000008</v>
      </c>
      <c r="K39" s="2">
        <v>2.1196000000000002</v>
      </c>
      <c r="L39" s="2">
        <v>7.2363999999999997</v>
      </c>
      <c r="M39" s="2">
        <v>-28.6432</v>
      </c>
    </row>
    <row r="40" spans="2:13" x14ac:dyDescent="0.3">
      <c r="B40" s="2">
        <v>-1</v>
      </c>
      <c r="C40" s="2" t="s">
        <v>13</v>
      </c>
      <c r="D40" s="2" t="s">
        <v>18</v>
      </c>
      <c r="E40" s="2" t="s">
        <v>15</v>
      </c>
      <c r="F40" s="2"/>
      <c r="G40" s="2" t="s">
        <v>16</v>
      </c>
      <c r="H40" s="2">
        <v>-35.107500000000002</v>
      </c>
      <c r="I40" s="2">
        <v>-23.470500000000001</v>
      </c>
      <c r="J40" s="2">
        <v>8.0329999999999995</v>
      </c>
      <c r="K40" s="2">
        <v>1.9816</v>
      </c>
      <c r="L40" s="2">
        <v>-14.067600000000001</v>
      </c>
      <c r="M40" s="2">
        <v>28.663699999999999</v>
      </c>
    </row>
    <row r="41" spans="2:13" x14ac:dyDescent="0.3">
      <c r="B41" s="2">
        <v>-1</v>
      </c>
      <c r="C41" s="2" t="s">
        <v>13</v>
      </c>
      <c r="D41" s="2" t="s">
        <v>18</v>
      </c>
      <c r="E41" s="2" t="s">
        <v>15</v>
      </c>
      <c r="F41" s="2"/>
      <c r="G41" s="2" t="s">
        <v>17</v>
      </c>
      <c r="H41" s="2">
        <v>-35.107500000000002</v>
      </c>
      <c r="I41" s="2">
        <v>-23.470500000000001</v>
      </c>
      <c r="J41" s="2">
        <v>8.0329999999999995</v>
      </c>
      <c r="K41" s="2">
        <v>1.9816</v>
      </c>
      <c r="L41" s="2">
        <v>6.8181000000000003</v>
      </c>
      <c r="M41" s="2">
        <v>-32.359499999999997</v>
      </c>
    </row>
    <row r="42" spans="2:13" x14ac:dyDescent="0.3">
      <c r="B42" s="2">
        <v>-1</v>
      </c>
      <c r="C42" s="2" t="s">
        <v>13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3.1063999999999998</v>
      </c>
      <c r="I42" s="2">
        <v>156.93260000000001</v>
      </c>
      <c r="J42" s="2">
        <v>0.1032</v>
      </c>
      <c r="K42" s="2">
        <v>2.6160999999999999</v>
      </c>
      <c r="L42" s="2">
        <v>0.13819999999999999</v>
      </c>
      <c r="M42" s="2">
        <v>134.77119999999999</v>
      </c>
    </row>
    <row r="43" spans="2:13" x14ac:dyDescent="0.3">
      <c r="B43" s="2">
        <v>-1</v>
      </c>
      <c r="C43" s="2" t="s">
        <v>13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3.1063999999999998</v>
      </c>
      <c r="I43" s="2">
        <v>156.93260000000001</v>
      </c>
      <c r="J43" s="2">
        <v>0.1032</v>
      </c>
      <c r="K43" s="2">
        <v>2.6160999999999999</v>
      </c>
      <c r="L43" s="2">
        <v>0.1762</v>
      </c>
      <c r="M43" s="2">
        <v>273.4855</v>
      </c>
    </row>
    <row r="44" spans="2:13" x14ac:dyDescent="0.3">
      <c r="B44" s="2">
        <v>-1</v>
      </c>
      <c r="C44" s="2" t="s">
        <v>13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12.2056</v>
      </c>
      <c r="I44" s="2">
        <v>34.633800000000001</v>
      </c>
      <c r="J44" s="2">
        <v>1.1121000000000001</v>
      </c>
      <c r="K44" s="2">
        <v>0.59730000000000005</v>
      </c>
      <c r="L44" s="2">
        <v>0.81810000000000005</v>
      </c>
      <c r="M44" s="2">
        <v>34.488999999999997</v>
      </c>
    </row>
    <row r="45" spans="2:13" x14ac:dyDescent="0.3">
      <c r="B45" s="2">
        <v>-1</v>
      </c>
      <c r="C45" s="2" t="s">
        <v>13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12.2056</v>
      </c>
      <c r="I45" s="2">
        <v>34.633800000000001</v>
      </c>
      <c r="J45" s="2">
        <v>1.1121000000000001</v>
      </c>
      <c r="K45" s="2">
        <v>0.59730000000000005</v>
      </c>
      <c r="L45" s="2">
        <v>2.0802</v>
      </c>
      <c r="M45" s="2">
        <v>68.273499999999999</v>
      </c>
    </row>
    <row r="46" spans="2:13" hidden="1" x14ac:dyDescent="0.3">
      <c r="B46" s="2">
        <v>-1</v>
      </c>
      <c r="C46" s="2" t="s">
        <v>13</v>
      </c>
      <c r="D46" s="2" t="s">
        <v>23</v>
      </c>
      <c r="E46" s="2" t="s">
        <v>24</v>
      </c>
      <c r="F46" s="2"/>
      <c r="G46" s="2" t="s">
        <v>16</v>
      </c>
      <c r="H46" s="2">
        <v>-51.454500000000003</v>
      </c>
      <c r="I46" s="2">
        <v>-30.164300000000001</v>
      </c>
      <c r="J46" s="2">
        <v>11.943300000000001</v>
      </c>
      <c r="K46" s="2">
        <v>2.9674999999999998</v>
      </c>
      <c r="L46" s="2">
        <v>-20.921600000000002</v>
      </c>
      <c r="M46" s="2">
        <v>38.326700000000002</v>
      </c>
    </row>
    <row r="47" spans="2:13" hidden="1" x14ac:dyDescent="0.3">
      <c r="B47" s="2">
        <v>-1</v>
      </c>
      <c r="C47" s="2" t="s">
        <v>13</v>
      </c>
      <c r="D47" s="2" t="s">
        <v>23</v>
      </c>
      <c r="E47" s="2" t="s">
        <v>24</v>
      </c>
      <c r="F47" s="2"/>
      <c r="G47" s="2" t="s">
        <v>17</v>
      </c>
      <c r="H47" s="2">
        <v>-99.138499999999993</v>
      </c>
      <c r="I47" s="2">
        <v>-30.164300000000001</v>
      </c>
      <c r="J47" s="2">
        <v>11.943300000000001</v>
      </c>
      <c r="K47" s="2">
        <v>2.9674999999999998</v>
      </c>
      <c r="L47" s="2">
        <v>10.131</v>
      </c>
      <c r="M47" s="2">
        <v>-40.100499999999997</v>
      </c>
    </row>
    <row r="48" spans="2:13" hidden="1" x14ac:dyDescent="0.3">
      <c r="B48" s="2">
        <v>-1</v>
      </c>
      <c r="C48" s="2" t="s">
        <v>13</v>
      </c>
      <c r="D48" s="2" t="s">
        <v>25</v>
      </c>
      <c r="E48" s="2" t="s">
        <v>24</v>
      </c>
      <c r="F48" s="2"/>
      <c r="G48" s="2" t="s">
        <v>16</v>
      </c>
      <c r="H48" s="2">
        <v>-100.27589999999999</v>
      </c>
      <c r="I48" s="2">
        <v>-63.407899999999998</v>
      </c>
      <c r="J48" s="2">
        <v>23.0898</v>
      </c>
      <c r="K48" s="2">
        <v>5.7140000000000004</v>
      </c>
      <c r="L48" s="2">
        <v>-40.440899999999999</v>
      </c>
      <c r="M48" s="2">
        <v>78.713399999999993</v>
      </c>
    </row>
    <row r="49" spans="2:13" hidden="1" x14ac:dyDescent="0.3">
      <c r="B49" s="2">
        <v>-1</v>
      </c>
      <c r="C49" s="2" t="s">
        <v>13</v>
      </c>
      <c r="D49" s="2" t="s">
        <v>25</v>
      </c>
      <c r="E49" s="2" t="s">
        <v>24</v>
      </c>
      <c r="F49" s="2"/>
      <c r="G49" s="2" t="s">
        <v>17</v>
      </c>
      <c r="H49" s="2">
        <v>-141.14789999999999</v>
      </c>
      <c r="I49" s="2">
        <v>-63.407899999999998</v>
      </c>
      <c r="J49" s="2">
        <v>23.0898</v>
      </c>
      <c r="K49" s="2">
        <v>5.7140000000000004</v>
      </c>
      <c r="L49" s="2">
        <v>19.592700000000001</v>
      </c>
      <c r="M49" s="2">
        <v>-86.147099999999995</v>
      </c>
    </row>
    <row r="50" spans="2:13" hidden="1" x14ac:dyDescent="0.3">
      <c r="B50" s="2">
        <v>-1</v>
      </c>
      <c r="C50" s="2" t="s">
        <v>13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-28.728999999999999</v>
      </c>
      <c r="I50" s="2">
        <v>200.3143</v>
      </c>
      <c r="J50" s="2">
        <v>7.8223000000000003</v>
      </c>
      <c r="K50" s="2">
        <v>5.5701000000000001</v>
      </c>
      <c r="L50" s="2">
        <v>-13.256</v>
      </c>
      <c r="M50" s="2">
        <v>213.31819999999999</v>
      </c>
    </row>
    <row r="51" spans="2:13" hidden="1" x14ac:dyDescent="0.3">
      <c r="B51" s="2">
        <v>-1</v>
      </c>
      <c r="C51" s="2" t="s">
        <v>13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-59.383000000000003</v>
      </c>
      <c r="I51" s="2">
        <v>200.3143</v>
      </c>
      <c r="J51" s="2">
        <v>7.8223000000000003</v>
      </c>
      <c r="K51" s="2">
        <v>5.5701000000000001</v>
      </c>
      <c r="L51" s="2">
        <v>6.7595000000000001</v>
      </c>
      <c r="M51" s="2">
        <v>357.10079999999999</v>
      </c>
    </row>
    <row r="52" spans="2:13" hidden="1" x14ac:dyDescent="0.3">
      <c r="B52" s="2">
        <v>-1</v>
      </c>
      <c r="C52" s="2" t="s">
        <v>13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-37.4268</v>
      </c>
      <c r="I52" s="2">
        <v>-239.09690000000001</v>
      </c>
      <c r="J52" s="2">
        <v>7.5334000000000003</v>
      </c>
      <c r="K52" s="2">
        <v>-1.7547999999999999</v>
      </c>
      <c r="L52" s="2">
        <v>-13.6431</v>
      </c>
      <c r="M52" s="2">
        <v>-164.0411</v>
      </c>
    </row>
    <row r="53" spans="2:13" hidden="1" x14ac:dyDescent="0.3">
      <c r="B53" s="2">
        <v>-1</v>
      </c>
      <c r="C53" s="2" t="s">
        <v>13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-68.080799999999996</v>
      </c>
      <c r="I53" s="2">
        <v>-239.09690000000001</v>
      </c>
      <c r="J53" s="2">
        <v>7.5334000000000003</v>
      </c>
      <c r="K53" s="2">
        <v>-1.7547999999999999</v>
      </c>
      <c r="L53" s="2">
        <v>6.2660999999999998</v>
      </c>
      <c r="M53" s="2">
        <v>-408.65859999999998</v>
      </c>
    </row>
    <row r="54" spans="2:13" hidden="1" x14ac:dyDescent="0.3">
      <c r="B54" s="2">
        <v>-1</v>
      </c>
      <c r="C54" s="2" t="s">
        <v>13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-74.862499999999997</v>
      </c>
      <c r="I54" s="2">
        <v>170.38</v>
      </c>
      <c r="J54" s="2">
        <v>18.4145</v>
      </c>
      <c r="K54" s="2">
        <v>8.1875999999999998</v>
      </c>
      <c r="L54" s="2">
        <v>-31.806799999999999</v>
      </c>
      <c r="M54" s="2">
        <v>250.19479999999999</v>
      </c>
    </row>
    <row r="55" spans="2:13" hidden="1" x14ac:dyDescent="0.3">
      <c r="B55" s="2">
        <v>-1</v>
      </c>
      <c r="C55" s="2" t="s">
        <v>13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-115.7345</v>
      </c>
      <c r="I55" s="2">
        <v>170.38</v>
      </c>
      <c r="J55" s="2">
        <v>18.4145</v>
      </c>
      <c r="K55" s="2">
        <v>8.1875999999999998</v>
      </c>
      <c r="L55" s="2">
        <v>15.7485</v>
      </c>
      <c r="M55" s="2">
        <v>316.14830000000001</v>
      </c>
    </row>
    <row r="56" spans="2:13" hidden="1" x14ac:dyDescent="0.3">
      <c r="B56" s="2">
        <v>-1</v>
      </c>
      <c r="C56" s="2" t="s">
        <v>13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-83.560299999999998</v>
      </c>
      <c r="I56" s="2">
        <v>-269.03120000000001</v>
      </c>
      <c r="J56" s="2">
        <v>18.125599999999999</v>
      </c>
      <c r="K56" s="2">
        <v>0.86260000000000003</v>
      </c>
      <c r="L56" s="2">
        <v>-32.193899999999999</v>
      </c>
      <c r="M56" s="2">
        <v>-127.1645</v>
      </c>
    </row>
    <row r="57" spans="2:13" hidden="1" x14ac:dyDescent="0.3">
      <c r="B57" s="2">
        <v>-1</v>
      </c>
      <c r="C57" s="2" t="s">
        <v>13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-124.4323</v>
      </c>
      <c r="I57" s="2">
        <v>-269.03120000000001</v>
      </c>
      <c r="J57" s="2">
        <v>18.125599999999999</v>
      </c>
      <c r="K57" s="2">
        <v>0.86260000000000003</v>
      </c>
      <c r="L57" s="2">
        <v>15.255100000000001</v>
      </c>
      <c r="M57" s="2">
        <v>-449.61110000000002</v>
      </c>
    </row>
    <row r="58" spans="2:13" hidden="1" x14ac:dyDescent="0.3">
      <c r="B58" s="2">
        <v>-1</v>
      </c>
      <c r="C58" s="2" t="s">
        <v>13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-62.123600000000003</v>
      </c>
      <c r="I58" s="2">
        <v>-0.83819999999999995</v>
      </c>
      <c r="J58" s="2">
        <v>19.827000000000002</v>
      </c>
      <c r="K58" s="2">
        <v>5.3613</v>
      </c>
      <c r="L58" s="2">
        <v>-30.855</v>
      </c>
      <c r="M58" s="2">
        <v>109.7997</v>
      </c>
    </row>
    <row r="59" spans="2:13" hidden="1" x14ac:dyDescent="0.3">
      <c r="B59" s="2">
        <v>-1</v>
      </c>
      <c r="C59" s="2" t="s">
        <v>13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-102.9956</v>
      </c>
      <c r="I59" s="2">
        <v>-0.83819999999999995</v>
      </c>
      <c r="J59" s="2">
        <v>19.827000000000002</v>
      </c>
      <c r="K59" s="2">
        <v>5.3613</v>
      </c>
      <c r="L59" s="2">
        <v>18.414100000000001</v>
      </c>
      <c r="M59" s="2">
        <v>28.851600000000001</v>
      </c>
    </row>
    <row r="60" spans="2:13" hidden="1" x14ac:dyDescent="0.3">
      <c r="B60" s="2">
        <v>-1</v>
      </c>
      <c r="C60" s="2" t="s">
        <v>13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-96.299199999999999</v>
      </c>
      <c r="I60" s="2">
        <v>-97.813000000000002</v>
      </c>
      <c r="J60" s="2">
        <v>16.713100000000001</v>
      </c>
      <c r="K60" s="2">
        <v>3.6888999999999998</v>
      </c>
      <c r="L60" s="2">
        <v>-33.145600000000002</v>
      </c>
      <c r="M60" s="2">
        <v>13.230600000000001</v>
      </c>
    </row>
    <row r="61" spans="2:13" hidden="1" x14ac:dyDescent="0.3">
      <c r="B61" s="2">
        <v>-1</v>
      </c>
      <c r="C61" s="2" t="s">
        <v>13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-137.1712</v>
      </c>
      <c r="I61" s="2">
        <v>-97.813000000000002</v>
      </c>
      <c r="J61" s="2">
        <v>16.713100000000001</v>
      </c>
      <c r="K61" s="2">
        <v>3.6888999999999998</v>
      </c>
      <c r="L61" s="2">
        <v>12.589499999999999</v>
      </c>
      <c r="M61" s="2">
        <v>-162.3143</v>
      </c>
    </row>
    <row r="62" spans="2:13" hidden="1" x14ac:dyDescent="0.3">
      <c r="B62" s="2">
        <v>-1</v>
      </c>
      <c r="C62" s="2" t="s">
        <v>13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-15.9901</v>
      </c>
      <c r="I62" s="2">
        <v>200.3143</v>
      </c>
      <c r="J62" s="2">
        <v>23.0898</v>
      </c>
      <c r="K62" s="2">
        <v>8.1875999999999998</v>
      </c>
      <c r="L62" s="2">
        <v>-12.3043</v>
      </c>
      <c r="M62" s="2">
        <v>250.19479999999999</v>
      </c>
    </row>
    <row r="63" spans="2:13" hidden="1" x14ac:dyDescent="0.3">
      <c r="B63" s="2">
        <v>-1</v>
      </c>
      <c r="C63" s="2" t="s">
        <v>13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-46.644100000000002</v>
      </c>
      <c r="I63" s="2">
        <v>200.3143</v>
      </c>
      <c r="J63" s="2">
        <v>23.0898</v>
      </c>
      <c r="K63" s="2">
        <v>8.1875999999999998</v>
      </c>
      <c r="L63" s="2">
        <v>19.592700000000001</v>
      </c>
      <c r="M63" s="2">
        <v>357.10079999999999</v>
      </c>
    </row>
    <row r="64" spans="2:13" hidden="1" x14ac:dyDescent="0.3">
      <c r="B64" s="2">
        <v>-1</v>
      </c>
      <c r="C64" s="2" t="s">
        <v>13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-100.27589999999999</v>
      </c>
      <c r="I64" s="2">
        <v>-269.03120000000001</v>
      </c>
      <c r="J64" s="2">
        <v>6.1208999999999998</v>
      </c>
      <c r="K64" s="2">
        <v>-1.7547999999999999</v>
      </c>
      <c r="L64" s="2">
        <v>-40.440899999999999</v>
      </c>
      <c r="M64" s="2">
        <v>-164.0411</v>
      </c>
    </row>
    <row r="65" spans="2:13" hidden="1" x14ac:dyDescent="0.3">
      <c r="B65" s="2">
        <v>-1</v>
      </c>
      <c r="C65" s="2" t="s">
        <v>13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-141.14789999999999</v>
      </c>
      <c r="I65" s="2">
        <v>-269.03120000000001</v>
      </c>
      <c r="J65" s="2">
        <v>6.1208999999999998</v>
      </c>
      <c r="K65" s="2">
        <v>-1.7547999999999999</v>
      </c>
      <c r="L65" s="2">
        <v>3.6004</v>
      </c>
      <c r="M65" s="2">
        <v>-449.61110000000002</v>
      </c>
    </row>
    <row r="66" spans="2:13" hidden="1" x14ac:dyDescent="0.3">
      <c r="B66" s="2">
        <v>-1</v>
      </c>
      <c r="C66" s="2" t="s">
        <v>13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-15.9901</v>
      </c>
      <c r="I66" s="2">
        <v>29.096</v>
      </c>
      <c r="J66" s="2">
        <v>9.2347999999999999</v>
      </c>
      <c r="K66" s="2">
        <v>2.7439</v>
      </c>
      <c r="L66" s="2">
        <v>-12.3043</v>
      </c>
      <c r="M66" s="2">
        <v>72.923199999999994</v>
      </c>
    </row>
    <row r="67" spans="2:13" hidden="1" x14ac:dyDescent="0.3">
      <c r="B67" s="2">
        <v>-1</v>
      </c>
      <c r="C67" s="2" t="s">
        <v>13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-46.644100000000002</v>
      </c>
      <c r="I67" s="2">
        <v>29.096</v>
      </c>
      <c r="J67" s="2">
        <v>9.2347999999999999</v>
      </c>
      <c r="K67" s="2">
        <v>2.7439</v>
      </c>
      <c r="L67" s="2">
        <v>9.4251000000000005</v>
      </c>
      <c r="M67" s="2">
        <v>69.804000000000002</v>
      </c>
    </row>
    <row r="68" spans="2:13" hidden="1" x14ac:dyDescent="0.3">
      <c r="B68" s="2">
        <v>-1</v>
      </c>
      <c r="C68" s="2" t="s">
        <v>13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-50.165700000000001</v>
      </c>
      <c r="I68" s="2">
        <v>-67.878699999999995</v>
      </c>
      <c r="J68" s="2">
        <v>6.1208999999999998</v>
      </c>
      <c r="K68" s="2">
        <v>1.0713999999999999</v>
      </c>
      <c r="L68" s="2">
        <v>-14.594900000000001</v>
      </c>
      <c r="M68" s="2">
        <v>-23.646000000000001</v>
      </c>
    </row>
    <row r="69" spans="2:13" hidden="1" x14ac:dyDescent="0.3">
      <c r="B69" s="2">
        <v>-1</v>
      </c>
      <c r="C69" s="2" t="s">
        <v>13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-80.819699999999997</v>
      </c>
      <c r="I69" s="2">
        <v>-67.878699999999995</v>
      </c>
      <c r="J69" s="2">
        <v>6.1208999999999998</v>
      </c>
      <c r="K69" s="2">
        <v>1.0713999999999999</v>
      </c>
      <c r="L69" s="2">
        <v>3.6004</v>
      </c>
      <c r="M69" s="2">
        <v>-121.3618</v>
      </c>
    </row>
    <row r="70" spans="2:13" hidden="1" x14ac:dyDescent="0.3">
      <c r="B70" s="2">
        <v>-1</v>
      </c>
      <c r="C70" s="2" t="s">
        <v>13</v>
      </c>
      <c r="D70" s="2" t="s">
        <v>32</v>
      </c>
      <c r="E70" s="2" t="s">
        <v>24</v>
      </c>
      <c r="F70" s="2"/>
      <c r="G70" s="2" t="s">
        <v>16</v>
      </c>
      <c r="H70" s="2">
        <v>-71.860799999999998</v>
      </c>
      <c r="I70" s="2">
        <v>-45.016399999999997</v>
      </c>
      <c r="J70" s="2">
        <v>16.5639</v>
      </c>
      <c r="K70" s="2">
        <v>4.1012000000000004</v>
      </c>
      <c r="L70" s="2">
        <v>-29.011500000000002</v>
      </c>
      <c r="M70" s="2">
        <v>56.039900000000003</v>
      </c>
    </row>
    <row r="71" spans="2:13" hidden="1" x14ac:dyDescent="0.3">
      <c r="B71" s="2">
        <v>-1</v>
      </c>
      <c r="C71" s="2" t="s">
        <v>13</v>
      </c>
      <c r="D71" s="2" t="s">
        <v>32</v>
      </c>
      <c r="E71" s="2" t="s">
        <v>24</v>
      </c>
      <c r="F71" s="2"/>
      <c r="G71" s="2" t="s">
        <v>17</v>
      </c>
      <c r="H71" s="2">
        <v>-105.9208</v>
      </c>
      <c r="I71" s="2">
        <v>-45.016399999999997</v>
      </c>
      <c r="J71" s="2">
        <v>16.5639</v>
      </c>
      <c r="K71" s="2">
        <v>4.1012000000000004</v>
      </c>
      <c r="L71" s="2">
        <v>14.054500000000001</v>
      </c>
      <c r="M71" s="2">
        <v>-61.002699999999997</v>
      </c>
    </row>
    <row r="72" spans="2:13" x14ac:dyDescent="0.3">
      <c r="B72" s="2">
        <v>-1</v>
      </c>
      <c r="C72" s="2" t="s">
        <v>35</v>
      </c>
      <c r="D72" s="2" t="s">
        <v>14</v>
      </c>
      <c r="E72" s="2" t="s">
        <v>15</v>
      </c>
      <c r="F72" s="2"/>
      <c r="G72" s="2" t="s">
        <v>16</v>
      </c>
      <c r="H72" s="2">
        <v>-39.374899999999997</v>
      </c>
      <c r="I72" s="2">
        <v>-19.941400000000002</v>
      </c>
      <c r="J72" s="2">
        <v>-6.0077999999999996</v>
      </c>
      <c r="K72" s="2">
        <v>-1.6146</v>
      </c>
      <c r="L72" s="2">
        <v>10.571300000000001</v>
      </c>
      <c r="M72" s="2">
        <v>52.625500000000002</v>
      </c>
    </row>
    <row r="73" spans="2:13" x14ac:dyDescent="0.3">
      <c r="B73" s="2">
        <v>-1</v>
      </c>
      <c r="C73" s="2" t="s">
        <v>35</v>
      </c>
      <c r="D73" s="2" t="s">
        <v>14</v>
      </c>
      <c r="E73" s="2" t="s">
        <v>15</v>
      </c>
      <c r="F73" s="2"/>
      <c r="G73" s="2" t="s">
        <v>17</v>
      </c>
      <c r="H73" s="2">
        <v>-78.660899999999998</v>
      </c>
      <c r="I73" s="2">
        <v>-19.941400000000002</v>
      </c>
      <c r="J73" s="2">
        <v>-6.0077999999999996</v>
      </c>
      <c r="K73" s="2">
        <v>-1.6146</v>
      </c>
      <c r="L73" s="2">
        <v>-5.0490000000000004</v>
      </c>
      <c r="M73" s="2">
        <v>0.77790000000000004</v>
      </c>
    </row>
    <row r="74" spans="2:13" x14ac:dyDescent="0.3">
      <c r="B74" s="2">
        <v>-1</v>
      </c>
      <c r="C74" s="2" t="s">
        <v>35</v>
      </c>
      <c r="D74" s="2" t="s">
        <v>18</v>
      </c>
      <c r="E74" s="2" t="s">
        <v>15</v>
      </c>
      <c r="F74" s="2"/>
      <c r="G74" s="2" t="s">
        <v>16</v>
      </c>
      <c r="H74" s="2">
        <v>-38.273400000000002</v>
      </c>
      <c r="I74" s="2">
        <v>-11.4693</v>
      </c>
      <c r="J74" s="2">
        <v>-5.7164000000000001</v>
      </c>
      <c r="K74" s="2">
        <v>-1.6997</v>
      </c>
      <c r="L74" s="2">
        <v>10.037100000000001</v>
      </c>
      <c r="M74" s="2">
        <v>36.271299999999997</v>
      </c>
    </row>
    <row r="75" spans="2:13" x14ac:dyDescent="0.3">
      <c r="B75" s="2">
        <v>-1</v>
      </c>
      <c r="C75" s="2" t="s">
        <v>35</v>
      </c>
      <c r="D75" s="2" t="s">
        <v>18</v>
      </c>
      <c r="E75" s="2" t="s">
        <v>15</v>
      </c>
      <c r="F75" s="2"/>
      <c r="G75" s="2" t="s">
        <v>17</v>
      </c>
      <c r="H75" s="2">
        <v>-38.273400000000002</v>
      </c>
      <c r="I75" s="2">
        <v>-11.4693</v>
      </c>
      <c r="J75" s="2">
        <v>-5.7164000000000001</v>
      </c>
      <c r="K75" s="2">
        <v>-1.6997</v>
      </c>
      <c r="L75" s="2">
        <v>-4.8254000000000001</v>
      </c>
      <c r="M75" s="2">
        <v>6.4511000000000003</v>
      </c>
    </row>
    <row r="76" spans="2:13" x14ac:dyDescent="0.3">
      <c r="B76" s="2">
        <v>-1</v>
      </c>
      <c r="C76" s="2" t="s">
        <v>35</v>
      </c>
      <c r="D76" s="2" t="s">
        <v>19</v>
      </c>
      <c r="E76" s="2" t="s">
        <v>20</v>
      </c>
      <c r="F76" s="2" t="s">
        <v>21</v>
      </c>
      <c r="G76" s="2" t="s">
        <v>16</v>
      </c>
      <c r="H76" s="2">
        <v>21.565000000000001</v>
      </c>
      <c r="I76" s="2">
        <v>77.866600000000005</v>
      </c>
      <c r="J76" s="2">
        <v>2.4097</v>
      </c>
      <c r="K76" s="2">
        <v>6.5933999999999999</v>
      </c>
      <c r="L76" s="2">
        <v>2.5318999999999998</v>
      </c>
      <c r="M76" s="2">
        <v>147.5598</v>
      </c>
    </row>
    <row r="77" spans="2:13" x14ac:dyDescent="0.3">
      <c r="B77" s="2">
        <v>-1</v>
      </c>
      <c r="C77" s="2" t="s">
        <v>35</v>
      </c>
      <c r="D77" s="2" t="s">
        <v>19</v>
      </c>
      <c r="E77" s="2" t="s">
        <v>20</v>
      </c>
      <c r="F77" s="2" t="s">
        <v>21</v>
      </c>
      <c r="G77" s="2" t="s">
        <v>17</v>
      </c>
      <c r="H77" s="2">
        <v>21.565000000000001</v>
      </c>
      <c r="I77" s="2">
        <v>77.866600000000005</v>
      </c>
      <c r="J77" s="2">
        <v>2.4097</v>
      </c>
      <c r="K77" s="2">
        <v>6.5933999999999999</v>
      </c>
      <c r="L77" s="2">
        <v>3.7338</v>
      </c>
      <c r="M77" s="2">
        <v>57.896500000000003</v>
      </c>
    </row>
    <row r="78" spans="2:13" x14ac:dyDescent="0.3">
      <c r="B78" s="2">
        <v>-1</v>
      </c>
      <c r="C78" s="2" t="s">
        <v>35</v>
      </c>
      <c r="D78" s="2" t="s">
        <v>22</v>
      </c>
      <c r="E78" s="2" t="s">
        <v>20</v>
      </c>
      <c r="F78" s="2" t="s">
        <v>21</v>
      </c>
      <c r="G78" s="2" t="s">
        <v>16</v>
      </c>
      <c r="H78" s="2">
        <v>7.6820000000000004</v>
      </c>
      <c r="I78" s="2">
        <v>190.22909999999999</v>
      </c>
      <c r="J78" s="2">
        <v>0.215</v>
      </c>
      <c r="K78" s="2">
        <v>0.73180000000000001</v>
      </c>
      <c r="L78" s="2">
        <v>0.23430000000000001</v>
      </c>
      <c r="M78" s="2">
        <v>93.479600000000005</v>
      </c>
    </row>
    <row r="79" spans="2:13" x14ac:dyDescent="0.3">
      <c r="B79" s="2">
        <v>-1</v>
      </c>
      <c r="C79" s="2" t="s">
        <v>35</v>
      </c>
      <c r="D79" s="2" t="s">
        <v>22</v>
      </c>
      <c r="E79" s="2" t="s">
        <v>20</v>
      </c>
      <c r="F79" s="2" t="s">
        <v>21</v>
      </c>
      <c r="G79" s="2" t="s">
        <v>17</v>
      </c>
      <c r="H79" s="2">
        <v>7.6820000000000004</v>
      </c>
      <c r="I79" s="2">
        <v>190.22909999999999</v>
      </c>
      <c r="J79" s="2">
        <v>0.215</v>
      </c>
      <c r="K79" s="2">
        <v>0.73180000000000001</v>
      </c>
      <c r="L79" s="2">
        <v>0.34460000000000002</v>
      </c>
      <c r="M79" s="2">
        <v>401.17939999999999</v>
      </c>
    </row>
    <row r="80" spans="2:13" hidden="1" x14ac:dyDescent="0.3">
      <c r="B80" s="2">
        <v>-1</v>
      </c>
      <c r="C80" s="2" t="s">
        <v>35</v>
      </c>
      <c r="D80" s="2" t="s">
        <v>23</v>
      </c>
      <c r="E80" s="2" t="s">
        <v>24</v>
      </c>
      <c r="F80" s="2"/>
      <c r="G80" s="2" t="s">
        <v>16</v>
      </c>
      <c r="H80" s="2">
        <v>-55.124899999999997</v>
      </c>
      <c r="I80" s="2">
        <v>-27.917999999999999</v>
      </c>
      <c r="J80" s="2">
        <v>-8.4109999999999996</v>
      </c>
      <c r="K80" s="2">
        <v>-2.2605</v>
      </c>
      <c r="L80" s="2">
        <v>14.799799999999999</v>
      </c>
      <c r="M80" s="2">
        <v>73.675700000000006</v>
      </c>
    </row>
    <row r="81" spans="2:13" hidden="1" x14ac:dyDescent="0.3">
      <c r="B81" s="2">
        <v>-1</v>
      </c>
      <c r="C81" s="2" t="s">
        <v>35</v>
      </c>
      <c r="D81" s="2" t="s">
        <v>23</v>
      </c>
      <c r="E81" s="2" t="s">
        <v>24</v>
      </c>
      <c r="F81" s="2"/>
      <c r="G81" s="2" t="s">
        <v>17</v>
      </c>
      <c r="H81" s="2">
        <v>-110.1253</v>
      </c>
      <c r="I81" s="2">
        <v>-27.917999999999999</v>
      </c>
      <c r="J81" s="2">
        <v>-8.4109999999999996</v>
      </c>
      <c r="K81" s="2">
        <v>-2.2605</v>
      </c>
      <c r="L81" s="2">
        <v>-7.0686</v>
      </c>
      <c r="M81" s="2">
        <v>1.089</v>
      </c>
    </row>
    <row r="82" spans="2:13" hidden="1" x14ac:dyDescent="0.3">
      <c r="B82" s="2">
        <v>-1</v>
      </c>
      <c r="C82" s="2" t="s">
        <v>35</v>
      </c>
      <c r="D82" s="2" t="s">
        <v>25</v>
      </c>
      <c r="E82" s="2" t="s">
        <v>24</v>
      </c>
      <c r="F82" s="2"/>
      <c r="G82" s="2" t="s">
        <v>16</v>
      </c>
      <c r="H82" s="2">
        <v>-108.4873</v>
      </c>
      <c r="I82" s="2">
        <v>-42.2806</v>
      </c>
      <c r="J82" s="2">
        <v>-16.355599999999999</v>
      </c>
      <c r="K82" s="2">
        <v>-4.6570999999999998</v>
      </c>
      <c r="L82" s="2">
        <v>28.745000000000001</v>
      </c>
      <c r="M82" s="2">
        <v>121.18470000000001</v>
      </c>
    </row>
    <row r="83" spans="2:13" hidden="1" x14ac:dyDescent="0.3">
      <c r="B83" s="2">
        <v>-1</v>
      </c>
      <c r="C83" s="2" t="s">
        <v>35</v>
      </c>
      <c r="D83" s="2" t="s">
        <v>25</v>
      </c>
      <c r="E83" s="2" t="s">
        <v>24</v>
      </c>
      <c r="F83" s="2"/>
      <c r="G83" s="2" t="s">
        <v>17</v>
      </c>
      <c r="H83" s="2">
        <v>-155.63050000000001</v>
      </c>
      <c r="I83" s="2">
        <v>-42.2806</v>
      </c>
      <c r="J83" s="2">
        <v>-16.355599999999999</v>
      </c>
      <c r="K83" s="2">
        <v>-4.6570999999999998</v>
      </c>
      <c r="L83" s="2">
        <v>-13.779500000000001</v>
      </c>
      <c r="M83" s="2">
        <v>11.2552</v>
      </c>
    </row>
    <row r="84" spans="2:13" hidden="1" x14ac:dyDescent="0.3">
      <c r="B84" s="2">
        <v>-1</v>
      </c>
      <c r="C84" s="2" t="s">
        <v>35</v>
      </c>
      <c r="D84" s="2" t="s">
        <v>26</v>
      </c>
      <c r="E84" s="2" t="s">
        <v>24</v>
      </c>
      <c r="F84" s="2" t="s">
        <v>21</v>
      </c>
      <c r="G84" s="2" t="s">
        <v>16</v>
      </c>
      <c r="H84" s="2">
        <v>-5.2464000000000004</v>
      </c>
      <c r="I84" s="2">
        <v>91.066000000000003</v>
      </c>
      <c r="J84" s="2">
        <v>-2.0333999999999999</v>
      </c>
      <c r="K84" s="2">
        <v>7.7775999999999996</v>
      </c>
      <c r="L84" s="2">
        <v>13.0588</v>
      </c>
      <c r="M84" s="2">
        <v>253.9468</v>
      </c>
    </row>
    <row r="85" spans="2:13" hidden="1" x14ac:dyDescent="0.3">
      <c r="B85" s="2">
        <v>-1</v>
      </c>
      <c r="C85" s="2" t="s">
        <v>35</v>
      </c>
      <c r="D85" s="2" t="s">
        <v>26</v>
      </c>
      <c r="E85" s="2" t="s">
        <v>24</v>
      </c>
      <c r="F85" s="2" t="s">
        <v>21</v>
      </c>
      <c r="G85" s="2" t="s">
        <v>17</v>
      </c>
      <c r="H85" s="2">
        <v>-40.6038</v>
      </c>
      <c r="I85" s="2">
        <v>91.066000000000003</v>
      </c>
      <c r="J85" s="2">
        <v>-2.0333999999999999</v>
      </c>
      <c r="K85" s="2">
        <v>7.7775999999999996</v>
      </c>
      <c r="L85" s="2">
        <v>0.68310000000000004</v>
      </c>
      <c r="M85" s="2">
        <v>81.755099999999999</v>
      </c>
    </row>
    <row r="86" spans="2:13" hidden="1" x14ac:dyDescent="0.3">
      <c r="B86" s="2">
        <v>-1</v>
      </c>
      <c r="C86" s="2" t="s">
        <v>35</v>
      </c>
      <c r="D86" s="2" t="s">
        <v>26</v>
      </c>
      <c r="E86" s="2" t="s">
        <v>24</v>
      </c>
      <c r="F86" s="2" t="s">
        <v>27</v>
      </c>
      <c r="G86" s="2" t="s">
        <v>16</v>
      </c>
      <c r="H86" s="2">
        <v>-65.628500000000003</v>
      </c>
      <c r="I86" s="2">
        <v>-126.9605</v>
      </c>
      <c r="J86" s="2">
        <v>-8.7806999999999995</v>
      </c>
      <c r="K86" s="2">
        <v>-10.6839</v>
      </c>
      <c r="L86" s="2">
        <v>5.9695999999999998</v>
      </c>
      <c r="M86" s="2">
        <v>-159.2208</v>
      </c>
    </row>
    <row r="87" spans="2:13" hidden="1" x14ac:dyDescent="0.3">
      <c r="B87" s="2">
        <v>-1</v>
      </c>
      <c r="C87" s="2" t="s">
        <v>35</v>
      </c>
      <c r="D87" s="2" t="s">
        <v>26</v>
      </c>
      <c r="E87" s="2" t="s">
        <v>24</v>
      </c>
      <c r="F87" s="2" t="s">
        <v>27</v>
      </c>
      <c r="G87" s="2" t="s">
        <v>17</v>
      </c>
      <c r="H87" s="2">
        <v>-100.9859</v>
      </c>
      <c r="I87" s="2">
        <v>-126.9605</v>
      </c>
      <c r="J87" s="2">
        <v>-8.7806999999999995</v>
      </c>
      <c r="K87" s="2">
        <v>-10.6839</v>
      </c>
      <c r="L87" s="2">
        <v>-9.7713999999999999</v>
      </c>
      <c r="M87" s="2">
        <v>-80.355000000000004</v>
      </c>
    </row>
    <row r="88" spans="2:13" hidden="1" x14ac:dyDescent="0.3">
      <c r="B88" s="2">
        <v>-1</v>
      </c>
      <c r="C88" s="2" t="s">
        <v>35</v>
      </c>
      <c r="D88" s="2" t="s">
        <v>28</v>
      </c>
      <c r="E88" s="2" t="s">
        <v>24</v>
      </c>
      <c r="F88" s="2" t="s">
        <v>21</v>
      </c>
      <c r="G88" s="2" t="s">
        <v>16</v>
      </c>
      <c r="H88" s="2">
        <v>-55.332299999999996</v>
      </c>
      <c r="I88" s="2">
        <v>73.6143</v>
      </c>
      <c r="J88" s="2">
        <v>-9.5520999999999994</v>
      </c>
      <c r="K88" s="2">
        <v>5.5934999999999997</v>
      </c>
      <c r="L88" s="2">
        <v>26.267299999999999</v>
      </c>
      <c r="M88" s="2">
        <v>306.00569999999999</v>
      </c>
    </row>
    <row r="89" spans="2:13" hidden="1" x14ac:dyDescent="0.3">
      <c r="B89" s="2">
        <v>-1</v>
      </c>
      <c r="C89" s="2" t="s">
        <v>35</v>
      </c>
      <c r="D89" s="2" t="s">
        <v>28</v>
      </c>
      <c r="E89" s="2" t="s">
        <v>24</v>
      </c>
      <c r="F89" s="2" t="s">
        <v>21</v>
      </c>
      <c r="G89" s="2" t="s">
        <v>17</v>
      </c>
      <c r="H89" s="2">
        <v>-102.4755</v>
      </c>
      <c r="I89" s="2">
        <v>73.6143</v>
      </c>
      <c r="J89" s="2">
        <v>-9.5520999999999994</v>
      </c>
      <c r="K89" s="2">
        <v>5.5934999999999997</v>
      </c>
      <c r="L89" s="2">
        <v>-5.657</v>
      </c>
      <c r="M89" s="2">
        <v>88.439599999999999</v>
      </c>
    </row>
    <row r="90" spans="2:13" hidden="1" x14ac:dyDescent="0.3">
      <c r="B90" s="2">
        <v>-1</v>
      </c>
      <c r="C90" s="2" t="s">
        <v>35</v>
      </c>
      <c r="D90" s="2" t="s">
        <v>28</v>
      </c>
      <c r="E90" s="2" t="s">
        <v>24</v>
      </c>
      <c r="F90" s="2" t="s">
        <v>27</v>
      </c>
      <c r="G90" s="2" t="s">
        <v>16</v>
      </c>
      <c r="H90" s="2">
        <v>-115.71429999999999</v>
      </c>
      <c r="I90" s="2">
        <v>-144.41229999999999</v>
      </c>
      <c r="J90" s="2">
        <v>-16.299399999999999</v>
      </c>
      <c r="K90" s="2">
        <v>-12.868</v>
      </c>
      <c r="L90" s="2">
        <v>19.178100000000001</v>
      </c>
      <c r="M90" s="2">
        <v>-107.1619</v>
      </c>
    </row>
    <row r="91" spans="2:13" hidden="1" x14ac:dyDescent="0.3">
      <c r="B91" s="2">
        <v>-1</v>
      </c>
      <c r="C91" s="2" t="s">
        <v>35</v>
      </c>
      <c r="D91" s="2" t="s">
        <v>28</v>
      </c>
      <c r="E91" s="2" t="s">
        <v>24</v>
      </c>
      <c r="F91" s="2" t="s">
        <v>27</v>
      </c>
      <c r="G91" s="2" t="s">
        <v>17</v>
      </c>
      <c r="H91" s="2">
        <v>-162.85749999999999</v>
      </c>
      <c r="I91" s="2">
        <v>-144.41229999999999</v>
      </c>
      <c r="J91" s="2">
        <v>-16.299399999999999</v>
      </c>
      <c r="K91" s="2">
        <v>-12.868</v>
      </c>
      <c r="L91" s="2">
        <v>-16.111499999999999</v>
      </c>
      <c r="M91" s="2">
        <v>-73.670500000000004</v>
      </c>
    </row>
    <row r="92" spans="2:13" hidden="1" x14ac:dyDescent="0.3">
      <c r="B92" s="2">
        <v>-1</v>
      </c>
      <c r="C92" s="2" t="s">
        <v>35</v>
      </c>
      <c r="D92" s="2" t="s">
        <v>29</v>
      </c>
      <c r="E92" s="2" t="s">
        <v>24</v>
      </c>
      <c r="F92" s="2" t="s">
        <v>21</v>
      </c>
      <c r="G92" s="2" t="s">
        <v>16</v>
      </c>
      <c r="H92" s="2">
        <v>-74.768500000000003</v>
      </c>
      <c r="I92" s="2">
        <v>230.92179999999999</v>
      </c>
      <c r="J92" s="2">
        <v>-12.624700000000001</v>
      </c>
      <c r="K92" s="2">
        <v>-2.6126999999999998</v>
      </c>
      <c r="L92" s="2">
        <v>23.050699999999999</v>
      </c>
      <c r="M92" s="2">
        <v>230.29339999999999</v>
      </c>
    </row>
    <row r="93" spans="2:13" hidden="1" x14ac:dyDescent="0.3">
      <c r="B93" s="2">
        <v>-1</v>
      </c>
      <c r="C93" s="2" t="s">
        <v>35</v>
      </c>
      <c r="D93" s="2" t="s">
        <v>29</v>
      </c>
      <c r="E93" s="2" t="s">
        <v>24</v>
      </c>
      <c r="F93" s="2" t="s">
        <v>21</v>
      </c>
      <c r="G93" s="2" t="s">
        <v>17</v>
      </c>
      <c r="H93" s="2">
        <v>-121.9117</v>
      </c>
      <c r="I93" s="2">
        <v>230.92179999999999</v>
      </c>
      <c r="J93" s="2">
        <v>-12.624700000000001</v>
      </c>
      <c r="K93" s="2">
        <v>-2.6126999999999998</v>
      </c>
      <c r="L93" s="2">
        <v>-10.401899999999999</v>
      </c>
      <c r="M93" s="2">
        <v>569.03570000000002</v>
      </c>
    </row>
    <row r="94" spans="2:13" hidden="1" x14ac:dyDescent="0.3">
      <c r="B94" s="2">
        <v>-1</v>
      </c>
      <c r="C94" s="2" t="s">
        <v>35</v>
      </c>
      <c r="D94" s="2" t="s">
        <v>29</v>
      </c>
      <c r="E94" s="2" t="s">
        <v>24</v>
      </c>
      <c r="F94" s="2" t="s">
        <v>27</v>
      </c>
      <c r="G94" s="2" t="s">
        <v>16</v>
      </c>
      <c r="H94" s="2">
        <v>-96.278099999999995</v>
      </c>
      <c r="I94" s="2">
        <v>-301.71980000000002</v>
      </c>
      <c r="J94" s="2">
        <v>-13.226800000000001</v>
      </c>
      <c r="K94" s="2">
        <v>-4.6618000000000004</v>
      </c>
      <c r="L94" s="2">
        <v>22.3947</v>
      </c>
      <c r="M94" s="2">
        <v>-31.4495</v>
      </c>
    </row>
    <row r="95" spans="2:13" hidden="1" x14ac:dyDescent="0.3">
      <c r="B95" s="2">
        <v>-1</v>
      </c>
      <c r="C95" s="2" t="s">
        <v>35</v>
      </c>
      <c r="D95" s="2" t="s">
        <v>29</v>
      </c>
      <c r="E95" s="2" t="s">
        <v>24</v>
      </c>
      <c r="F95" s="2" t="s">
        <v>27</v>
      </c>
      <c r="G95" s="2" t="s">
        <v>17</v>
      </c>
      <c r="H95" s="2">
        <v>-143.4213</v>
      </c>
      <c r="I95" s="2">
        <v>-301.71980000000002</v>
      </c>
      <c r="J95" s="2">
        <v>-13.226800000000001</v>
      </c>
      <c r="K95" s="2">
        <v>-4.6618000000000004</v>
      </c>
      <c r="L95" s="2">
        <v>-11.3666</v>
      </c>
      <c r="M95" s="2">
        <v>-554.26660000000004</v>
      </c>
    </row>
    <row r="96" spans="2:13" hidden="1" x14ac:dyDescent="0.3">
      <c r="B96" s="2">
        <v>-1</v>
      </c>
      <c r="C96" s="2" t="s">
        <v>35</v>
      </c>
      <c r="D96" s="2" t="s">
        <v>30</v>
      </c>
      <c r="E96" s="2" t="s">
        <v>24</v>
      </c>
      <c r="F96" s="2" t="s">
        <v>21</v>
      </c>
      <c r="G96" s="2" t="s">
        <v>16</v>
      </c>
      <c r="H96" s="2">
        <v>-5.2464000000000004</v>
      </c>
      <c r="I96" s="2">
        <v>248.37350000000001</v>
      </c>
      <c r="J96" s="2">
        <v>-2.0333999999999999</v>
      </c>
      <c r="K96" s="2">
        <v>7.7775999999999996</v>
      </c>
      <c r="L96" s="2">
        <v>28.745000000000001</v>
      </c>
      <c r="M96" s="2">
        <v>306.00569999999999</v>
      </c>
    </row>
    <row r="97" spans="2:13" hidden="1" x14ac:dyDescent="0.3">
      <c r="B97" s="2">
        <v>-1</v>
      </c>
      <c r="C97" s="2" t="s">
        <v>35</v>
      </c>
      <c r="D97" s="2" t="s">
        <v>30</v>
      </c>
      <c r="E97" s="2" t="s">
        <v>24</v>
      </c>
      <c r="F97" s="2" t="s">
        <v>21</v>
      </c>
      <c r="G97" s="2" t="s">
        <v>17</v>
      </c>
      <c r="H97" s="2">
        <v>-40.6038</v>
      </c>
      <c r="I97" s="2">
        <v>248.37350000000001</v>
      </c>
      <c r="J97" s="2">
        <v>-2.0333999999999999</v>
      </c>
      <c r="K97" s="2">
        <v>7.7775999999999996</v>
      </c>
      <c r="L97" s="2">
        <v>0.68310000000000004</v>
      </c>
      <c r="M97" s="2">
        <v>569.03570000000002</v>
      </c>
    </row>
    <row r="98" spans="2:13" hidden="1" x14ac:dyDescent="0.3">
      <c r="B98" s="2">
        <v>-1</v>
      </c>
      <c r="C98" s="2" t="s">
        <v>35</v>
      </c>
      <c r="D98" s="2" t="s">
        <v>30</v>
      </c>
      <c r="E98" s="2" t="s">
        <v>24</v>
      </c>
      <c r="F98" s="2" t="s">
        <v>27</v>
      </c>
      <c r="G98" s="2" t="s">
        <v>16</v>
      </c>
      <c r="H98" s="2">
        <v>-115.71429999999999</v>
      </c>
      <c r="I98" s="2">
        <v>-301.71980000000002</v>
      </c>
      <c r="J98" s="2">
        <v>-16.355599999999999</v>
      </c>
      <c r="K98" s="2">
        <v>-12.868</v>
      </c>
      <c r="L98" s="2">
        <v>5.9695999999999998</v>
      </c>
      <c r="M98" s="2">
        <v>-159.2208</v>
      </c>
    </row>
    <row r="99" spans="2:13" hidden="1" x14ac:dyDescent="0.3">
      <c r="B99" s="2">
        <v>-1</v>
      </c>
      <c r="C99" s="2" t="s">
        <v>35</v>
      </c>
      <c r="D99" s="2" t="s">
        <v>30</v>
      </c>
      <c r="E99" s="2" t="s">
        <v>24</v>
      </c>
      <c r="F99" s="2" t="s">
        <v>27</v>
      </c>
      <c r="G99" s="2" t="s">
        <v>17</v>
      </c>
      <c r="H99" s="2">
        <v>-162.85749999999999</v>
      </c>
      <c r="I99" s="2">
        <v>-301.71980000000002</v>
      </c>
      <c r="J99" s="2">
        <v>-16.355599999999999</v>
      </c>
      <c r="K99" s="2">
        <v>-12.868</v>
      </c>
      <c r="L99" s="2">
        <v>-16.111499999999999</v>
      </c>
      <c r="M99" s="2">
        <v>-560.9511</v>
      </c>
    </row>
    <row r="100" spans="2:13" hidden="1" x14ac:dyDescent="0.3">
      <c r="B100" s="2">
        <v>-1</v>
      </c>
      <c r="C100" s="2" t="s">
        <v>35</v>
      </c>
      <c r="D100" s="2" t="s">
        <v>31</v>
      </c>
      <c r="E100" s="2" t="s">
        <v>24</v>
      </c>
      <c r="F100" s="2" t="s">
        <v>21</v>
      </c>
      <c r="G100" s="2" t="s">
        <v>16</v>
      </c>
      <c r="H100" s="2">
        <v>-24.682700000000001</v>
      </c>
      <c r="I100" s="2">
        <v>248.37350000000001</v>
      </c>
      <c r="J100" s="2">
        <v>-5.1059999999999999</v>
      </c>
      <c r="K100" s="2">
        <v>-0.42859999999999998</v>
      </c>
      <c r="L100" s="2">
        <v>9.8421000000000003</v>
      </c>
      <c r="M100" s="2">
        <v>178.23439999999999</v>
      </c>
    </row>
    <row r="101" spans="2:13" hidden="1" x14ac:dyDescent="0.3">
      <c r="B101" s="2">
        <v>-1</v>
      </c>
      <c r="C101" s="2" t="s">
        <v>35</v>
      </c>
      <c r="D101" s="2" t="s">
        <v>31</v>
      </c>
      <c r="E101" s="2" t="s">
        <v>24</v>
      </c>
      <c r="F101" s="2" t="s">
        <v>21</v>
      </c>
      <c r="G101" s="2" t="s">
        <v>17</v>
      </c>
      <c r="H101" s="2">
        <v>-60.040100000000002</v>
      </c>
      <c r="I101" s="2">
        <v>248.37350000000001</v>
      </c>
      <c r="J101" s="2">
        <v>-5.1059999999999999</v>
      </c>
      <c r="K101" s="2">
        <v>-0.42859999999999998</v>
      </c>
      <c r="L101" s="2">
        <v>-4.0617999999999999</v>
      </c>
      <c r="M101" s="2">
        <v>562.35119999999995</v>
      </c>
    </row>
    <row r="102" spans="2:13" hidden="1" x14ac:dyDescent="0.3">
      <c r="B102" s="2">
        <v>-1</v>
      </c>
      <c r="C102" s="2" t="s">
        <v>35</v>
      </c>
      <c r="D102" s="2" t="s">
        <v>31</v>
      </c>
      <c r="E102" s="2" t="s">
        <v>24</v>
      </c>
      <c r="F102" s="2" t="s">
        <v>27</v>
      </c>
      <c r="G102" s="2" t="s">
        <v>16</v>
      </c>
      <c r="H102" s="2">
        <v>-46.1922</v>
      </c>
      <c r="I102" s="2">
        <v>-284.2681</v>
      </c>
      <c r="J102" s="2">
        <v>-5.7081</v>
      </c>
      <c r="K102" s="2">
        <v>-2.4777</v>
      </c>
      <c r="L102" s="2">
        <v>9.1861999999999995</v>
      </c>
      <c r="M102" s="2">
        <v>-83.508399999999995</v>
      </c>
    </row>
    <row r="103" spans="2:13" hidden="1" x14ac:dyDescent="0.3">
      <c r="B103" s="2">
        <v>-1</v>
      </c>
      <c r="C103" s="2" t="s">
        <v>35</v>
      </c>
      <c r="D103" s="2" t="s">
        <v>31</v>
      </c>
      <c r="E103" s="2" t="s">
        <v>24</v>
      </c>
      <c r="F103" s="2" t="s">
        <v>27</v>
      </c>
      <c r="G103" s="2" t="s">
        <v>17</v>
      </c>
      <c r="H103" s="2">
        <v>-81.549599999999998</v>
      </c>
      <c r="I103" s="2">
        <v>-284.2681</v>
      </c>
      <c r="J103" s="2">
        <v>-5.7081</v>
      </c>
      <c r="K103" s="2">
        <v>-2.4777</v>
      </c>
      <c r="L103" s="2">
        <v>-5.0265000000000004</v>
      </c>
      <c r="M103" s="2">
        <v>-560.9511</v>
      </c>
    </row>
    <row r="104" spans="2:13" hidden="1" x14ac:dyDescent="0.3">
      <c r="B104" s="2">
        <v>-1</v>
      </c>
      <c r="C104" s="2" t="s">
        <v>35</v>
      </c>
      <c r="D104" s="2" t="s">
        <v>32</v>
      </c>
      <c r="E104" s="2" t="s">
        <v>24</v>
      </c>
      <c r="F104" s="2"/>
      <c r="G104" s="2" t="s">
        <v>16</v>
      </c>
      <c r="H104" s="2">
        <v>-77.648300000000006</v>
      </c>
      <c r="I104" s="2">
        <v>-31.410699999999999</v>
      </c>
      <c r="J104" s="2">
        <v>-11.7242</v>
      </c>
      <c r="K104" s="2">
        <v>-3.3142999999999998</v>
      </c>
      <c r="L104" s="2">
        <v>20.6084</v>
      </c>
      <c r="M104" s="2">
        <v>88.896799999999999</v>
      </c>
    </row>
    <row r="105" spans="2:13" hidden="1" x14ac:dyDescent="0.3">
      <c r="B105" s="2">
        <v>-1</v>
      </c>
      <c r="C105" s="2" t="s">
        <v>35</v>
      </c>
      <c r="D105" s="2" t="s">
        <v>32</v>
      </c>
      <c r="E105" s="2" t="s">
        <v>24</v>
      </c>
      <c r="F105" s="2"/>
      <c r="G105" s="2" t="s">
        <v>17</v>
      </c>
      <c r="H105" s="2">
        <v>-116.93429999999999</v>
      </c>
      <c r="I105" s="2">
        <v>-31.410699999999999</v>
      </c>
      <c r="J105" s="2">
        <v>-11.7242</v>
      </c>
      <c r="K105" s="2">
        <v>-3.3142999999999998</v>
      </c>
      <c r="L105" s="2">
        <v>-9.8743999999999996</v>
      </c>
      <c r="M105" s="2">
        <v>7.2290000000000001</v>
      </c>
    </row>
    <row r="106" spans="2:13" x14ac:dyDescent="0.3">
      <c r="B106" s="2">
        <v>-1</v>
      </c>
      <c r="C106" s="2" t="s">
        <v>36</v>
      </c>
      <c r="D106" s="2" t="s">
        <v>14</v>
      </c>
      <c r="E106" s="2" t="s">
        <v>15</v>
      </c>
      <c r="F106" s="2"/>
      <c r="G106" s="2" t="s">
        <v>16</v>
      </c>
      <c r="H106" s="2">
        <v>-11.7676</v>
      </c>
      <c r="I106" s="2">
        <v>4.8445</v>
      </c>
      <c r="J106" s="2">
        <v>-0.53859999999999997</v>
      </c>
      <c r="K106" s="2">
        <v>-0.35549999999999998</v>
      </c>
      <c r="L106" s="2">
        <v>0.91839999999999999</v>
      </c>
      <c r="M106" s="2">
        <v>-12.4054</v>
      </c>
    </row>
    <row r="107" spans="2:13" x14ac:dyDescent="0.3">
      <c r="B107" s="2">
        <v>-1</v>
      </c>
      <c r="C107" s="2" t="s">
        <v>36</v>
      </c>
      <c r="D107" s="2" t="s">
        <v>14</v>
      </c>
      <c r="E107" s="2" t="s">
        <v>15</v>
      </c>
      <c r="F107" s="2"/>
      <c r="G107" s="2" t="s">
        <v>17</v>
      </c>
      <c r="H107" s="2">
        <v>-16.122599999999998</v>
      </c>
      <c r="I107" s="2">
        <v>4.8445</v>
      </c>
      <c r="J107" s="2">
        <v>-0.53859999999999997</v>
      </c>
      <c r="K107" s="2">
        <v>-0.35549999999999998</v>
      </c>
      <c r="L107" s="2">
        <v>-0.48199999999999998</v>
      </c>
      <c r="M107" s="2">
        <v>0.19009999999999999</v>
      </c>
    </row>
    <row r="108" spans="2:13" x14ac:dyDescent="0.3">
      <c r="B108" s="2">
        <v>-1</v>
      </c>
      <c r="C108" s="2" t="s">
        <v>36</v>
      </c>
      <c r="D108" s="2" t="s">
        <v>18</v>
      </c>
      <c r="E108" s="2" t="s">
        <v>15</v>
      </c>
      <c r="F108" s="2"/>
      <c r="G108" s="2" t="s">
        <v>16</v>
      </c>
      <c r="H108" s="2">
        <v>-8.4845000000000006</v>
      </c>
      <c r="I108" s="2">
        <v>4.7552000000000003</v>
      </c>
      <c r="J108" s="2">
        <v>-0.49730000000000002</v>
      </c>
      <c r="K108" s="2">
        <v>-0.32869999999999999</v>
      </c>
      <c r="L108" s="2">
        <v>0.85199999999999998</v>
      </c>
      <c r="M108" s="2">
        <v>-10.365500000000001</v>
      </c>
    </row>
    <row r="109" spans="2:13" x14ac:dyDescent="0.3">
      <c r="B109" s="2">
        <v>-1</v>
      </c>
      <c r="C109" s="2" t="s">
        <v>36</v>
      </c>
      <c r="D109" s="2" t="s">
        <v>18</v>
      </c>
      <c r="E109" s="2" t="s">
        <v>15</v>
      </c>
      <c r="F109" s="2"/>
      <c r="G109" s="2" t="s">
        <v>17</v>
      </c>
      <c r="H109" s="2">
        <v>-8.4845000000000006</v>
      </c>
      <c r="I109" s="2">
        <v>4.7552000000000003</v>
      </c>
      <c r="J109" s="2">
        <v>-0.49730000000000002</v>
      </c>
      <c r="K109" s="2">
        <v>-0.32869999999999999</v>
      </c>
      <c r="L109" s="2">
        <v>-0.441</v>
      </c>
      <c r="M109" s="2">
        <v>1.998</v>
      </c>
    </row>
    <row r="110" spans="2:13" x14ac:dyDescent="0.3">
      <c r="B110" s="2">
        <v>-1</v>
      </c>
      <c r="C110" s="2" t="s">
        <v>36</v>
      </c>
      <c r="D110" s="2" t="s">
        <v>19</v>
      </c>
      <c r="E110" s="2" t="s">
        <v>20</v>
      </c>
      <c r="F110" s="2" t="s">
        <v>21</v>
      </c>
      <c r="G110" s="2" t="s">
        <v>16</v>
      </c>
      <c r="H110" s="2">
        <v>2.8755000000000002</v>
      </c>
      <c r="I110" s="2">
        <v>37.222499999999997</v>
      </c>
      <c r="J110" s="2">
        <v>6.6600000000000006E-2</v>
      </c>
      <c r="K110" s="2">
        <v>6.7999999999999996E-3</v>
      </c>
      <c r="L110" s="2">
        <v>6.8699999999999997E-2</v>
      </c>
      <c r="M110" s="2">
        <v>44.352800000000002</v>
      </c>
    </row>
    <row r="111" spans="2:13" x14ac:dyDescent="0.3">
      <c r="B111" s="2">
        <v>-1</v>
      </c>
      <c r="C111" s="2" t="s">
        <v>36</v>
      </c>
      <c r="D111" s="2" t="s">
        <v>19</v>
      </c>
      <c r="E111" s="2" t="s">
        <v>20</v>
      </c>
      <c r="F111" s="2" t="s">
        <v>21</v>
      </c>
      <c r="G111" s="2" t="s">
        <v>17</v>
      </c>
      <c r="H111" s="2">
        <v>2.8755000000000002</v>
      </c>
      <c r="I111" s="2">
        <v>37.222499999999997</v>
      </c>
      <c r="J111" s="2">
        <v>6.6600000000000006E-2</v>
      </c>
      <c r="K111" s="2">
        <v>6.7999999999999996E-3</v>
      </c>
      <c r="L111" s="2">
        <v>0.1045</v>
      </c>
      <c r="M111" s="2">
        <v>52.435299999999998</v>
      </c>
    </row>
    <row r="112" spans="2:13" x14ac:dyDescent="0.3">
      <c r="B112" s="2">
        <v>-1</v>
      </c>
      <c r="C112" s="2" t="s">
        <v>36</v>
      </c>
      <c r="D112" s="2" t="s">
        <v>22</v>
      </c>
      <c r="E112" s="2" t="s">
        <v>20</v>
      </c>
      <c r="F112" s="2" t="s">
        <v>21</v>
      </c>
      <c r="G112" s="2" t="s">
        <v>16</v>
      </c>
      <c r="H112" s="2">
        <v>3.2612999999999999</v>
      </c>
      <c r="I112" s="2">
        <v>1.5129999999999999</v>
      </c>
      <c r="J112" s="2">
        <v>0.17319999999999999</v>
      </c>
      <c r="K112" s="2">
        <v>1.0500000000000001E-2</v>
      </c>
      <c r="L112" s="2">
        <v>0.16389999999999999</v>
      </c>
      <c r="M112" s="2">
        <v>3.7109000000000001</v>
      </c>
    </row>
    <row r="113" spans="2:13" x14ac:dyDescent="0.3">
      <c r="B113" s="2">
        <v>-1</v>
      </c>
      <c r="C113" s="2" t="s">
        <v>36</v>
      </c>
      <c r="D113" s="2" t="s">
        <v>22</v>
      </c>
      <c r="E113" s="2" t="s">
        <v>20</v>
      </c>
      <c r="F113" s="2" t="s">
        <v>21</v>
      </c>
      <c r="G113" s="2" t="s">
        <v>17</v>
      </c>
      <c r="H113" s="2">
        <v>3.2612999999999999</v>
      </c>
      <c r="I113" s="2">
        <v>1.5129999999999999</v>
      </c>
      <c r="J113" s="2">
        <v>0.17319999999999999</v>
      </c>
      <c r="K113" s="2">
        <v>1.0500000000000001E-2</v>
      </c>
      <c r="L113" s="2">
        <v>0.28639999999999999</v>
      </c>
      <c r="M113" s="2">
        <v>4.9767999999999999</v>
      </c>
    </row>
    <row r="114" spans="2:13" hidden="1" x14ac:dyDescent="0.3">
      <c r="B114" s="2">
        <v>-1</v>
      </c>
      <c r="C114" s="2" t="s">
        <v>36</v>
      </c>
      <c r="D114" s="2" t="s">
        <v>23</v>
      </c>
      <c r="E114" s="2" t="s">
        <v>24</v>
      </c>
      <c r="F114" s="2"/>
      <c r="G114" s="2" t="s">
        <v>16</v>
      </c>
      <c r="H114" s="2">
        <v>-16.474699999999999</v>
      </c>
      <c r="I114" s="2">
        <v>6.7821999999999996</v>
      </c>
      <c r="J114" s="2">
        <v>-0.75409999999999999</v>
      </c>
      <c r="K114" s="2">
        <v>-0.49759999999999999</v>
      </c>
      <c r="L114" s="2">
        <v>1.2858000000000001</v>
      </c>
      <c r="M114" s="2">
        <v>-17.367599999999999</v>
      </c>
    </row>
    <row r="115" spans="2:13" hidden="1" x14ac:dyDescent="0.3">
      <c r="B115" s="2">
        <v>-1</v>
      </c>
      <c r="C115" s="2" t="s">
        <v>36</v>
      </c>
      <c r="D115" s="2" t="s">
        <v>23</v>
      </c>
      <c r="E115" s="2" t="s">
        <v>24</v>
      </c>
      <c r="F115" s="2"/>
      <c r="G115" s="2" t="s">
        <v>17</v>
      </c>
      <c r="H115" s="2">
        <v>-22.5717</v>
      </c>
      <c r="I115" s="2">
        <v>6.7821999999999996</v>
      </c>
      <c r="J115" s="2">
        <v>-0.75409999999999999</v>
      </c>
      <c r="K115" s="2">
        <v>-0.49759999999999999</v>
      </c>
      <c r="L115" s="2">
        <v>-0.67469999999999997</v>
      </c>
      <c r="M115" s="2">
        <v>0.26619999999999999</v>
      </c>
    </row>
    <row r="116" spans="2:13" hidden="1" x14ac:dyDescent="0.3">
      <c r="B116" s="2">
        <v>-1</v>
      </c>
      <c r="C116" s="2" t="s">
        <v>36</v>
      </c>
      <c r="D116" s="2" t="s">
        <v>25</v>
      </c>
      <c r="E116" s="2" t="s">
        <v>24</v>
      </c>
      <c r="F116" s="2"/>
      <c r="G116" s="2" t="s">
        <v>16</v>
      </c>
      <c r="H116" s="2">
        <v>-27.696400000000001</v>
      </c>
      <c r="I116" s="2">
        <v>13.4216</v>
      </c>
      <c r="J116" s="2">
        <v>-1.4419999999999999</v>
      </c>
      <c r="K116" s="2">
        <v>-0.95240000000000002</v>
      </c>
      <c r="L116" s="2">
        <v>2.4653999999999998</v>
      </c>
      <c r="M116" s="2">
        <v>-31.471299999999999</v>
      </c>
    </row>
    <row r="117" spans="2:13" hidden="1" x14ac:dyDescent="0.3">
      <c r="B117" s="2">
        <v>-1</v>
      </c>
      <c r="C117" s="2" t="s">
        <v>36</v>
      </c>
      <c r="D117" s="2" t="s">
        <v>25</v>
      </c>
      <c r="E117" s="2" t="s">
        <v>24</v>
      </c>
      <c r="F117" s="2"/>
      <c r="G117" s="2" t="s">
        <v>17</v>
      </c>
      <c r="H117" s="2">
        <v>-32.922400000000003</v>
      </c>
      <c r="I117" s="2">
        <v>13.4216</v>
      </c>
      <c r="J117" s="2">
        <v>-1.4419999999999999</v>
      </c>
      <c r="K117" s="2">
        <v>-0.95240000000000002</v>
      </c>
      <c r="L117" s="2">
        <v>-1.2839</v>
      </c>
      <c r="M117" s="2">
        <v>3.4249999999999998</v>
      </c>
    </row>
    <row r="118" spans="2:13" hidden="1" x14ac:dyDescent="0.3">
      <c r="B118" s="2">
        <v>-1</v>
      </c>
      <c r="C118" s="2" t="s">
        <v>36</v>
      </c>
      <c r="D118" s="2" t="s">
        <v>26</v>
      </c>
      <c r="E118" s="2" t="s">
        <v>24</v>
      </c>
      <c r="F118" s="2" t="s">
        <v>21</v>
      </c>
      <c r="G118" s="2" t="s">
        <v>16</v>
      </c>
      <c r="H118" s="2">
        <v>-6.5651000000000002</v>
      </c>
      <c r="I118" s="2">
        <v>56.471499999999999</v>
      </c>
      <c r="J118" s="2">
        <v>-0.39150000000000001</v>
      </c>
      <c r="K118" s="2">
        <v>-0.31040000000000001</v>
      </c>
      <c r="L118" s="2">
        <v>0.92279999999999995</v>
      </c>
      <c r="M118" s="2">
        <v>50.929000000000002</v>
      </c>
    </row>
    <row r="119" spans="2:13" hidden="1" x14ac:dyDescent="0.3">
      <c r="B119" s="2">
        <v>-1</v>
      </c>
      <c r="C119" s="2" t="s">
        <v>36</v>
      </c>
      <c r="D119" s="2" t="s">
        <v>26</v>
      </c>
      <c r="E119" s="2" t="s">
        <v>24</v>
      </c>
      <c r="F119" s="2" t="s">
        <v>21</v>
      </c>
      <c r="G119" s="2" t="s">
        <v>17</v>
      </c>
      <c r="H119" s="2">
        <v>-10.4846</v>
      </c>
      <c r="I119" s="2">
        <v>56.471499999999999</v>
      </c>
      <c r="J119" s="2">
        <v>-0.39150000000000001</v>
      </c>
      <c r="K119" s="2">
        <v>-0.31040000000000001</v>
      </c>
      <c r="L119" s="2">
        <v>-0.28749999999999998</v>
      </c>
      <c r="M119" s="2">
        <v>73.580500000000001</v>
      </c>
    </row>
    <row r="120" spans="2:13" hidden="1" x14ac:dyDescent="0.3">
      <c r="B120" s="2">
        <v>-1</v>
      </c>
      <c r="C120" s="2" t="s">
        <v>36</v>
      </c>
      <c r="D120" s="2" t="s">
        <v>26</v>
      </c>
      <c r="E120" s="2" t="s">
        <v>24</v>
      </c>
      <c r="F120" s="2" t="s">
        <v>27</v>
      </c>
      <c r="G120" s="2" t="s">
        <v>16</v>
      </c>
      <c r="H120" s="2">
        <v>-14.6166</v>
      </c>
      <c r="I120" s="2">
        <v>-47.7515</v>
      </c>
      <c r="J120" s="2">
        <v>-0.57799999999999996</v>
      </c>
      <c r="K120" s="2">
        <v>-0.32940000000000003</v>
      </c>
      <c r="L120" s="2">
        <v>0.73040000000000005</v>
      </c>
      <c r="M120" s="2">
        <v>-73.258799999999994</v>
      </c>
    </row>
    <row r="121" spans="2:13" hidden="1" x14ac:dyDescent="0.3">
      <c r="B121" s="2">
        <v>-1</v>
      </c>
      <c r="C121" s="2" t="s">
        <v>36</v>
      </c>
      <c r="D121" s="2" t="s">
        <v>26</v>
      </c>
      <c r="E121" s="2" t="s">
        <v>24</v>
      </c>
      <c r="F121" s="2" t="s">
        <v>27</v>
      </c>
      <c r="G121" s="2" t="s">
        <v>17</v>
      </c>
      <c r="H121" s="2">
        <v>-18.536100000000001</v>
      </c>
      <c r="I121" s="2">
        <v>-47.7515</v>
      </c>
      <c r="J121" s="2">
        <v>-0.57799999999999996</v>
      </c>
      <c r="K121" s="2">
        <v>-0.32940000000000003</v>
      </c>
      <c r="L121" s="2">
        <v>-0.57999999999999996</v>
      </c>
      <c r="M121" s="2">
        <v>-73.238299999999995</v>
      </c>
    </row>
    <row r="122" spans="2:13" hidden="1" x14ac:dyDescent="0.3">
      <c r="B122" s="2">
        <v>-1</v>
      </c>
      <c r="C122" s="2" t="s">
        <v>36</v>
      </c>
      <c r="D122" s="2" t="s">
        <v>28</v>
      </c>
      <c r="E122" s="2" t="s">
        <v>24</v>
      </c>
      <c r="F122" s="2" t="s">
        <v>21</v>
      </c>
      <c r="G122" s="2" t="s">
        <v>16</v>
      </c>
      <c r="H122" s="2">
        <v>-18.579899999999999</v>
      </c>
      <c r="I122" s="2">
        <v>62.680100000000003</v>
      </c>
      <c r="J122" s="2">
        <v>-1.0504</v>
      </c>
      <c r="K122" s="2">
        <v>-0.74570000000000003</v>
      </c>
      <c r="L122" s="2">
        <v>2.0503999999999998</v>
      </c>
      <c r="M122" s="2">
        <v>36.841799999999999</v>
      </c>
    </row>
    <row r="123" spans="2:13" hidden="1" x14ac:dyDescent="0.3">
      <c r="B123" s="2">
        <v>-1</v>
      </c>
      <c r="C123" s="2" t="s">
        <v>36</v>
      </c>
      <c r="D123" s="2" t="s">
        <v>28</v>
      </c>
      <c r="E123" s="2" t="s">
        <v>24</v>
      </c>
      <c r="F123" s="2" t="s">
        <v>21</v>
      </c>
      <c r="G123" s="2" t="s">
        <v>17</v>
      </c>
      <c r="H123" s="2">
        <v>-23.805900000000001</v>
      </c>
      <c r="I123" s="2">
        <v>62.680100000000003</v>
      </c>
      <c r="J123" s="2">
        <v>-1.0504</v>
      </c>
      <c r="K123" s="2">
        <v>-0.74570000000000003</v>
      </c>
      <c r="L123" s="2">
        <v>-0.87309999999999999</v>
      </c>
      <c r="M123" s="2">
        <v>75.635599999999997</v>
      </c>
    </row>
    <row r="124" spans="2:13" hidden="1" x14ac:dyDescent="0.3">
      <c r="B124" s="2">
        <v>-1</v>
      </c>
      <c r="C124" s="2" t="s">
        <v>36</v>
      </c>
      <c r="D124" s="2" t="s">
        <v>28</v>
      </c>
      <c r="E124" s="2" t="s">
        <v>24</v>
      </c>
      <c r="F124" s="2" t="s">
        <v>27</v>
      </c>
      <c r="G124" s="2" t="s">
        <v>16</v>
      </c>
      <c r="H124" s="2">
        <v>-26.631399999999999</v>
      </c>
      <c r="I124" s="2">
        <v>-41.542999999999999</v>
      </c>
      <c r="J124" s="2">
        <v>-1.2369000000000001</v>
      </c>
      <c r="K124" s="2">
        <v>-0.76470000000000005</v>
      </c>
      <c r="L124" s="2">
        <v>1.8579000000000001</v>
      </c>
      <c r="M124" s="2">
        <v>-87.3459</v>
      </c>
    </row>
    <row r="125" spans="2:13" hidden="1" x14ac:dyDescent="0.3">
      <c r="B125" s="2">
        <v>-1</v>
      </c>
      <c r="C125" s="2" t="s">
        <v>36</v>
      </c>
      <c r="D125" s="2" t="s">
        <v>28</v>
      </c>
      <c r="E125" s="2" t="s">
        <v>24</v>
      </c>
      <c r="F125" s="2" t="s">
        <v>27</v>
      </c>
      <c r="G125" s="2" t="s">
        <v>17</v>
      </c>
      <c r="H125" s="2">
        <v>-31.857399999999998</v>
      </c>
      <c r="I125" s="2">
        <v>-41.542999999999999</v>
      </c>
      <c r="J125" s="2">
        <v>-1.2369000000000001</v>
      </c>
      <c r="K125" s="2">
        <v>-0.76470000000000005</v>
      </c>
      <c r="L125" s="2">
        <v>-1.1656</v>
      </c>
      <c r="M125" s="2">
        <v>-71.183199999999999</v>
      </c>
    </row>
    <row r="126" spans="2:13" hidden="1" x14ac:dyDescent="0.3">
      <c r="B126" s="2">
        <v>-1</v>
      </c>
      <c r="C126" s="2" t="s">
        <v>36</v>
      </c>
      <c r="D126" s="2" t="s">
        <v>29</v>
      </c>
      <c r="E126" s="2" t="s">
        <v>24</v>
      </c>
      <c r="F126" s="2" t="s">
        <v>21</v>
      </c>
      <c r="G126" s="2" t="s">
        <v>16</v>
      </c>
      <c r="H126" s="2">
        <v>-18.0398</v>
      </c>
      <c r="I126" s="2">
        <v>12.6868</v>
      </c>
      <c r="J126" s="2">
        <v>-0.9012</v>
      </c>
      <c r="K126" s="2">
        <v>-0.74050000000000005</v>
      </c>
      <c r="L126" s="2">
        <v>2.1836000000000002</v>
      </c>
      <c r="M126" s="2">
        <v>-20.056699999999999</v>
      </c>
    </row>
    <row r="127" spans="2:13" hidden="1" x14ac:dyDescent="0.3">
      <c r="B127" s="2">
        <v>-1</v>
      </c>
      <c r="C127" s="2" t="s">
        <v>36</v>
      </c>
      <c r="D127" s="2" t="s">
        <v>29</v>
      </c>
      <c r="E127" s="2" t="s">
        <v>24</v>
      </c>
      <c r="F127" s="2" t="s">
        <v>21</v>
      </c>
      <c r="G127" s="2" t="s">
        <v>17</v>
      </c>
      <c r="H127" s="2">
        <v>-23.265799999999999</v>
      </c>
      <c r="I127" s="2">
        <v>12.6868</v>
      </c>
      <c r="J127" s="2">
        <v>-0.9012</v>
      </c>
      <c r="K127" s="2">
        <v>-0.74050000000000005</v>
      </c>
      <c r="L127" s="2">
        <v>-0.61839999999999995</v>
      </c>
      <c r="M127" s="2">
        <v>9.1936999999999998</v>
      </c>
    </row>
    <row r="128" spans="2:13" hidden="1" x14ac:dyDescent="0.3">
      <c r="B128" s="2">
        <v>-1</v>
      </c>
      <c r="C128" s="2" t="s">
        <v>36</v>
      </c>
      <c r="D128" s="2" t="s">
        <v>29</v>
      </c>
      <c r="E128" s="2" t="s">
        <v>24</v>
      </c>
      <c r="F128" s="2" t="s">
        <v>27</v>
      </c>
      <c r="G128" s="2" t="s">
        <v>16</v>
      </c>
      <c r="H128" s="2">
        <v>-27.171500000000002</v>
      </c>
      <c r="I128" s="2">
        <v>8.4503000000000004</v>
      </c>
      <c r="J128" s="2">
        <v>-1.3861000000000001</v>
      </c>
      <c r="K128" s="2">
        <v>-0.76990000000000003</v>
      </c>
      <c r="L128" s="2">
        <v>1.7246999999999999</v>
      </c>
      <c r="M128" s="2">
        <v>-30.447299999999998</v>
      </c>
    </row>
    <row r="129" spans="2:13" hidden="1" x14ac:dyDescent="0.3">
      <c r="B129" s="2">
        <v>-1</v>
      </c>
      <c r="C129" s="2" t="s">
        <v>36</v>
      </c>
      <c r="D129" s="2" t="s">
        <v>29</v>
      </c>
      <c r="E129" s="2" t="s">
        <v>24</v>
      </c>
      <c r="F129" s="2" t="s">
        <v>27</v>
      </c>
      <c r="G129" s="2" t="s">
        <v>17</v>
      </c>
      <c r="H129" s="2">
        <v>-32.397500000000001</v>
      </c>
      <c r="I129" s="2">
        <v>8.4503000000000004</v>
      </c>
      <c r="J129" s="2">
        <v>-1.3861000000000001</v>
      </c>
      <c r="K129" s="2">
        <v>-0.76990000000000003</v>
      </c>
      <c r="L129" s="2">
        <v>-1.4202999999999999</v>
      </c>
      <c r="M129" s="2">
        <v>-4.7412999999999998</v>
      </c>
    </row>
    <row r="130" spans="2:13" hidden="1" x14ac:dyDescent="0.3">
      <c r="B130" s="2">
        <v>-1</v>
      </c>
      <c r="C130" s="2" t="s">
        <v>36</v>
      </c>
      <c r="D130" s="2" t="s">
        <v>30</v>
      </c>
      <c r="E130" s="2" t="s">
        <v>24</v>
      </c>
      <c r="F130" s="2" t="s">
        <v>21</v>
      </c>
      <c r="G130" s="2" t="s">
        <v>16</v>
      </c>
      <c r="H130" s="2">
        <v>-6.0250000000000004</v>
      </c>
      <c r="I130" s="2">
        <v>62.680100000000003</v>
      </c>
      <c r="J130" s="2">
        <v>-0.24229999999999999</v>
      </c>
      <c r="K130" s="2">
        <v>-0.30520000000000003</v>
      </c>
      <c r="L130" s="2">
        <v>2.4653999999999998</v>
      </c>
      <c r="M130" s="2">
        <v>50.929000000000002</v>
      </c>
    </row>
    <row r="131" spans="2:13" hidden="1" x14ac:dyDescent="0.3">
      <c r="B131" s="2">
        <v>-1</v>
      </c>
      <c r="C131" s="2" t="s">
        <v>36</v>
      </c>
      <c r="D131" s="2" t="s">
        <v>30</v>
      </c>
      <c r="E131" s="2" t="s">
        <v>24</v>
      </c>
      <c r="F131" s="2" t="s">
        <v>21</v>
      </c>
      <c r="G131" s="2" t="s">
        <v>17</v>
      </c>
      <c r="H131" s="2">
        <v>-9.9444999999999997</v>
      </c>
      <c r="I131" s="2">
        <v>62.680100000000003</v>
      </c>
      <c r="J131" s="2">
        <v>-0.24229999999999999</v>
      </c>
      <c r="K131" s="2">
        <v>-0.30520000000000003</v>
      </c>
      <c r="L131" s="2">
        <v>-3.2800000000000003E-2</v>
      </c>
      <c r="M131" s="2">
        <v>75.635599999999997</v>
      </c>
    </row>
    <row r="132" spans="2:13" hidden="1" x14ac:dyDescent="0.3">
      <c r="B132" s="2">
        <v>-1</v>
      </c>
      <c r="C132" s="2" t="s">
        <v>36</v>
      </c>
      <c r="D132" s="2" t="s">
        <v>30</v>
      </c>
      <c r="E132" s="2" t="s">
        <v>24</v>
      </c>
      <c r="F132" s="2" t="s">
        <v>27</v>
      </c>
      <c r="G132" s="2" t="s">
        <v>16</v>
      </c>
      <c r="H132" s="2">
        <v>-27.696400000000001</v>
      </c>
      <c r="I132" s="2">
        <v>-47.7515</v>
      </c>
      <c r="J132" s="2">
        <v>-1.4419999999999999</v>
      </c>
      <c r="K132" s="2">
        <v>-0.95240000000000002</v>
      </c>
      <c r="L132" s="2">
        <v>0.59709999999999996</v>
      </c>
      <c r="M132" s="2">
        <v>-87.3459</v>
      </c>
    </row>
    <row r="133" spans="2:13" hidden="1" x14ac:dyDescent="0.3">
      <c r="B133" s="2">
        <v>-1</v>
      </c>
      <c r="C133" s="2" t="s">
        <v>36</v>
      </c>
      <c r="D133" s="2" t="s">
        <v>30</v>
      </c>
      <c r="E133" s="2" t="s">
        <v>24</v>
      </c>
      <c r="F133" s="2" t="s">
        <v>27</v>
      </c>
      <c r="G133" s="2" t="s">
        <v>17</v>
      </c>
      <c r="H133" s="2">
        <v>-32.922400000000003</v>
      </c>
      <c r="I133" s="2">
        <v>-47.7515</v>
      </c>
      <c r="J133" s="2">
        <v>-1.4419999999999999</v>
      </c>
      <c r="K133" s="2">
        <v>-0.95240000000000002</v>
      </c>
      <c r="L133" s="2">
        <v>-1.4202999999999999</v>
      </c>
      <c r="M133" s="2">
        <v>-73.238299999999995</v>
      </c>
    </row>
    <row r="134" spans="2:13" hidden="1" x14ac:dyDescent="0.3">
      <c r="B134" s="2">
        <v>-1</v>
      </c>
      <c r="C134" s="2" t="s">
        <v>36</v>
      </c>
      <c r="D134" s="2" t="s">
        <v>31</v>
      </c>
      <c r="E134" s="2" t="s">
        <v>24</v>
      </c>
      <c r="F134" s="2" t="s">
        <v>21</v>
      </c>
      <c r="G134" s="2" t="s">
        <v>16</v>
      </c>
      <c r="H134" s="2">
        <v>-6.0250000000000004</v>
      </c>
      <c r="I134" s="2">
        <v>6.4782999999999999</v>
      </c>
      <c r="J134" s="2">
        <v>-0.24229999999999999</v>
      </c>
      <c r="K134" s="2">
        <v>-0.30520000000000003</v>
      </c>
      <c r="L134" s="2">
        <v>1.0561</v>
      </c>
      <c r="M134" s="2">
        <v>-5.9695999999999998</v>
      </c>
    </row>
    <row r="135" spans="2:13" hidden="1" x14ac:dyDescent="0.3">
      <c r="B135" s="2">
        <v>-1</v>
      </c>
      <c r="C135" s="2" t="s">
        <v>36</v>
      </c>
      <c r="D135" s="2" t="s">
        <v>31</v>
      </c>
      <c r="E135" s="2" t="s">
        <v>24</v>
      </c>
      <c r="F135" s="2" t="s">
        <v>21</v>
      </c>
      <c r="G135" s="2" t="s">
        <v>17</v>
      </c>
      <c r="H135" s="2">
        <v>-9.9444999999999997</v>
      </c>
      <c r="I135" s="2">
        <v>6.4782999999999999</v>
      </c>
      <c r="J135" s="2">
        <v>-0.24229999999999999</v>
      </c>
      <c r="K135" s="2">
        <v>-0.30520000000000003</v>
      </c>
      <c r="L135" s="2">
        <v>-3.2800000000000003E-2</v>
      </c>
      <c r="M135" s="2">
        <v>7.1386000000000003</v>
      </c>
    </row>
    <row r="136" spans="2:13" hidden="1" x14ac:dyDescent="0.3">
      <c r="B136" s="2">
        <v>-1</v>
      </c>
      <c r="C136" s="2" t="s">
        <v>36</v>
      </c>
      <c r="D136" s="2" t="s">
        <v>31</v>
      </c>
      <c r="E136" s="2" t="s">
        <v>24</v>
      </c>
      <c r="F136" s="2" t="s">
        <v>27</v>
      </c>
      <c r="G136" s="2" t="s">
        <v>16</v>
      </c>
      <c r="H136" s="2">
        <v>-15.156700000000001</v>
      </c>
      <c r="I136" s="2">
        <v>2.2418</v>
      </c>
      <c r="J136" s="2">
        <v>-0.72719999999999996</v>
      </c>
      <c r="K136" s="2">
        <v>-0.33460000000000001</v>
      </c>
      <c r="L136" s="2">
        <v>0.59709999999999996</v>
      </c>
      <c r="M136" s="2">
        <v>-16.360199999999999</v>
      </c>
    </row>
    <row r="137" spans="2:13" hidden="1" x14ac:dyDescent="0.3">
      <c r="B137" s="2">
        <v>-1</v>
      </c>
      <c r="C137" s="2" t="s">
        <v>36</v>
      </c>
      <c r="D137" s="2" t="s">
        <v>31</v>
      </c>
      <c r="E137" s="2" t="s">
        <v>24</v>
      </c>
      <c r="F137" s="2" t="s">
        <v>27</v>
      </c>
      <c r="G137" s="2" t="s">
        <v>17</v>
      </c>
      <c r="H137" s="2">
        <v>-19.0762</v>
      </c>
      <c r="I137" s="2">
        <v>2.2418</v>
      </c>
      <c r="J137" s="2">
        <v>-0.72719999999999996</v>
      </c>
      <c r="K137" s="2">
        <v>-0.33460000000000001</v>
      </c>
      <c r="L137" s="2">
        <v>-0.8347</v>
      </c>
      <c r="M137" s="2">
        <v>-6.7964000000000002</v>
      </c>
    </row>
    <row r="138" spans="2:13" hidden="1" x14ac:dyDescent="0.3">
      <c r="B138" s="2">
        <v>-1</v>
      </c>
      <c r="C138" s="2" t="s">
        <v>36</v>
      </c>
      <c r="D138" s="2" t="s">
        <v>32</v>
      </c>
      <c r="E138" s="2" t="s">
        <v>24</v>
      </c>
      <c r="F138" s="2"/>
      <c r="G138" s="2" t="s">
        <v>16</v>
      </c>
      <c r="H138" s="2">
        <v>-20.252199999999998</v>
      </c>
      <c r="I138" s="2">
        <v>9.5996000000000006</v>
      </c>
      <c r="J138" s="2">
        <v>-1.0359</v>
      </c>
      <c r="K138" s="2">
        <v>-0.68410000000000004</v>
      </c>
      <c r="L138" s="2">
        <v>1.7705</v>
      </c>
      <c r="M138" s="2">
        <v>-22.770900000000001</v>
      </c>
    </row>
    <row r="139" spans="2:13" hidden="1" x14ac:dyDescent="0.3">
      <c r="B139" s="2">
        <v>-1</v>
      </c>
      <c r="C139" s="2" t="s">
        <v>36</v>
      </c>
      <c r="D139" s="2" t="s">
        <v>32</v>
      </c>
      <c r="E139" s="2" t="s">
        <v>24</v>
      </c>
      <c r="F139" s="2"/>
      <c r="G139" s="2" t="s">
        <v>17</v>
      </c>
      <c r="H139" s="2">
        <v>-24.607199999999999</v>
      </c>
      <c r="I139" s="2">
        <v>9.5996000000000006</v>
      </c>
      <c r="J139" s="2">
        <v>-1.0359</v>
      </c>
      <c r="K139" s="2">
        <v>-0.68410000000000004</v>
      </c>
      <c r="L139" s="2">
        <v>-0.92290000000000005</v>
      </c>
      <c r="M139" s="2">
        <v>2.1880999999999999</v>
      </c>
    </row>
    <row r="140" spans="2:13" x14ac:dyDescent="0.3">
      <c r="B140" s="2">
        <v>-1</v>
      </c>
      <c r="C140" s="2" t="s">
        <v>37</v>
      </c>
      <c r="D140" s="2" t="s">
        <v>14</v>
      </c>
      <c r="E140" s="2" t="s">
        <v>15</v>
      </c>
      <c r="F140" s="2"/>
      <c r="G140" s="2" t="s">
        <v>16</v>
      </c>
      <c r="H140" s="2">
        <v>0.1522</v>
      </c>
      <c r="I140" s="2">
        <v>-14.301</v>
      </c>
      <c r="J140" s="2">
        <v>-0.28739999999999999</v>
      </c>
      <c r="K140" s="2">
        <v>0.54039999999999999</v>
      </c>
      <c r="L140" s="2">
        <v>0.52349999999999997</v>
      </c>
      <c r="M140" s="2">
        <v>106.985</v>
      </c>
    </row>
    <row r="141" spans="2:13" x14ac:dyDescent="0.3">
      <c r="B141" s="2">
        <v>-1</v>
      </c>
      <c r="C141" s="2" t="s">
        <v>37</v>
      </c>
      <c r="D141" s="2" t="s">
        <v>14</v>
      </c>
      <c r="E141" s="2" t="s">
        <v>15</v>
      </c>
      <c r="F141" s="2"/>
      <c r="G141" s="2" t="s">
        <v>17</v>
      </c>
      <c r="H141" s="2">
        <v>-12.191800000000001</v>
      </c>
      <c r="I141" s="2">
        <v>-14.301</v>
      </c>
      <c r="J141" s="2">
        <v>-0.28739999999999999</v>
      </c>
      <c r="K141" s="2">
        <v>0.54039999999999999</v>
      </c>
      <c r="L141" s="2">
        <v>-0.2238</v>
      </c>
      <c r="M141" s="2">
        <v>69.802400000000006</v>
      </c>
    </row>
    <row r="142" spans="2:13" x14ac:dyDescent="0.3">
      <c r="B142" s="2">
        <v>-1</v>
      </c>
      <c r="C142" s="2" t="s">
        <v>37</v>
      </c>
      <c r="D142" s="2" t="s">
        <v>18</v>
      </c>
      <c r="E142" s="2" t="s">
        <v>15</v>
      </c>
      <c r="F142" s="2"/>
      <c r="G142" s="2" t="s">
        <v>16</v>
      </c>
      <c r="H142" s="2">
        <v>-13.2324</v>
      </c>
      <c r="I142" s="2">
        <v>-8.9324999999999992</v>
      </c>
      <c r="J142" s="2">
        <v>-0.1734</v>
      </c>
      <c r="K142" s="2">
        <v>0.38519999999999999</v>
      </c>
      <c r="L142" s="2">
        <v>0.29959999999999998</v>
      </c>
      <c r="M142" s="2">
        <v>50.361499999999999</v>
      </c>
    </row>
    <row r="143" spans="2:13" x14ac:dyDescent="0.3">
      <c r="B143" s="2">
        <v>-1</v>
      </c>
      <c r="C143" s="2" t="s">
        <v>37</v>
      </c>
      <c r="D143" s="2" t="s">
        <v>18</v>
      </c>
      <c r="E143" s="2" t="s">
        <v>15</v>
      </c>
      <c r="F143" s="2"/>
      <c r="G143" s="2" t="s">
        <v>17</v>
      </c>
      <c r="H143" s="2">
        <v>-13.2324</v>
      </c>
      <c r="I143" s="2">
        <v>-8.9324999999999992</v>
      </c>
      <c r="J143" s="2">
        <v>-0.1734</v>
      </c>
      <c r="K143" s="2">
        <v>0.38519999999999999</v>
      </c>
      <c r="L143" s="2">
        <v>-0.1512</v>
      </c>
      <c r="M143" s="2">
        <v>27.136900000000001</v>
      </c>
    </row>
    <row r="144" spans="2:13" x14ac:dyDescent="0.3">
      <c r="B144" s="2">
        <v>-1</v>
      </c>
      <c r="C144" s="2" t="s">
        <v>37</v>
      </c>
      <c r="D144" s="2" t="s">
        <v>19</v>
      </c>
      <c r="E144" s="2" t="s">
        <v>20</v>
      </c>
      <c r="F144" s="2" t="s">
        <v>21</v>
      </c>
      <c r="G144" s="2" t="s">
        <v>16</v>
      </c>
      <c r="H144" s="2">
        <v>20.284800000000001</v>
      </c>
      <c r="I144" s="2">
        <v>17.286999999999999</v>
      </c>
      <c r="J144" s="2">
        <v>1.5228999999999999</v>
      </c>
      <c r="K144" s="2">
        <v>0.60409999999999997</v>
      </c>
      <c r="L144" s="2">
        <v>1.9267000000000001</v>
      </c>
      <c r="M144" s="2">
        <v>38.273899999999998</v>
      </c>
    </row>
    <row r="145" spans="2:13" x14ac:dyDescent="0.3">
      <c r="B145" s="2">
        <v>-1</v>
      </c>
      <c r="C145" s="2" t="s">
        <v>37</v>
      </c>
      <c r="D145" s="2" t="s">
        <v>19</v>
      </c>
      <c r="E145" s="2" t="s">
        <v>20</v>
      </c>
      <c r="F145" s="2" t="s">
        <v>21</v>
      </c>
      <c r="G145" s="2" t="s">
        <v>17</v>
      </c>
      <c r="H145" s="2">
        <v>20.284800000000001</v>
      </c>
      <c r="I145" s="2">
        <v>17.286999999999999</v>
      </c>
      <c r="J145" s="2">
        <v>1.5228999999999999</v>
      </c>
      <c r="K145" s="2">
        <v>0.60409999999999997</v>
      </c>
      <c r="L145" s="2">
        <v>2.0339</v>
      </c>
      <c r="M145" s="2">
        <v>32.764400000000002</v>
      </c>
    </row>
    <row r="146" spans="2:13" x14ac:dyDescent="0.3">
      <c r="B146" s="2">
        <v>-1</v>
      </c>
      <c r="C146" s="2" t="s">
        <v>37</v>
      </c>
      <c r="D146" s="2" t="s">
        <v>22</v>
      </c>
      <c r="E146" s="2" t="s">
        <v>20</v>
      </c>
      <c r="F146" s="2" t="s">
        <v>21</v>
      </c>
      <c r="G146" s="2" t="s">
        <v>16</v>
      </c>
      <c r="H146" s="2">
        <v>2.8077999999999999</v>
      </c>
      <c r="I146" s="2">
        <v>58.819499999999998</v>
      </c>
      <c r="J146" s="2">
        <v>5.62E-2</v>
      </c>
      <c r="K146" s="2">
        <v>8.8400000000000006E-2</v>
      </c>
      <c r="L146" s="2">
        <v>6.0999999999999999E-2</v>
      </c>
      <c r="M146" s="2">
        <v>33.695500000000003</v>
      </c>
    </row>
    <row r="147" spans="2:13" x14ac:dyDescent="0.3">
      <c r="B147" s="2">
        <v>-1</v>
      </c>
      <c r="C147" s="2" t="s">
        <v>37</v>
      </c>
      <c r="D147" s="2" t="s">
        <v>22</v>
      </c>
      <c r="E147" s="2" t="s">
        <v>20</v>
      </c>
      <c r="F147" s="2" t="s">
        <v>21</v>
      </c>
      <c r="G147" s="2" t="s">
        <v>17</v>
      </c>
      <c r="H147" s="2">
        <v>2.8077999999999999</v>
      </c>
      <c r="I147" s="2">
        <v>58.819499999999998</v>
      </c>
      <c r="J147" s="2">
        <v>5.62E-2</v>
      </c>
      <c r="K147" s="2">
        <v>8.8400000000000006E-2</v>
      </c>
      <c r="L147" s="2">
        <v>0.10009999999999999</v>
      </c>
      <c r="M147" s="2">
        <v>125.3613</v>
      </c>
    </row>
    <row r="148" spans="2:13" hidden="1" x14ac:dyDescent="0.3">
      <c r="B148" s="2">
        <v>-1</v>
      </c>
      <c r="C148" s="2" t="s">
        <v>37</v>
      </c>
      <c r="D148" s="2" t="s">
        <v>23</v>
      </c>
      <c r="E148" s="2" t="s">
        <v>24</v>
      </c>
      <c r="F148" s="2"/>
      <c r="G148" s="2" t="s">
        <v>16</v>
      </c>
      <c r="H148" s="2">
        <v>0.21299999999999999</v>
      </c>
      <c r="I148" s="2">
        <v>-20.0214</v>
      </c>
      <c r="J148" s="2">
        <v>-0.40239999999999998</v>
      </c>
      <c r="K148" s="2">
        <v>0.75649999999999995</v>
      </c>
      <c r="L148" s="2">
        <v>0.7329</v>
      </c>
      <c r="M148" s="2">
        <v>149.779</v>
      </c>
    </row>
    <row r="149" spans="2:13" hidden="1" x14ac:dyDescent="0.3">
      <c r="B149" s="2">
        <v>-1</v>
      </c>
      <c r="C149" s="2" t="s">
        <v>37</v>
      </c>
      <c r="D149" s="2" t="s">
        <v>23</v>
      </c>
      <c r="E149" s="2" t="s">
        <v>24</v>
      </c>
      <c r="F149" s="2"/>
      <c r="G149" s="2" t="s">
        <v>17</v>
      </c>
      <c r="H149" s="2">
        <v>-17.0686</v>
      </c>
      <c r="I149" s="2">
        <v>-20.0214</v>
      </c>
      <c r="J149" s="2">
        <v>-0.40239999999999998</v>
      </c>
      <c r="K149" s="2">
        <v>0.75649999999999995</v>
      </c>
      <c r="L149" s="2">
        <v>-0.31330000000000002</v>
      </c>
      <c r="M149" s="2">
        <v>97.723399999999998</v>
      </c>
    </row>
    <row r="150" spans="2:13" hidden="1" x14ac:dyDescent="0.3">
      <c r="B150" s="2">
        <v>-1</v>
      </c>
      <c r="C150" s="2" t="s">
        <v>37</v>
      </c>
      <c r="D150" s="2" t="s">
        <v>25</v>
      </c>
      <c r="E150" s="2" t="s">
        <v>24</v>
      </c>
      <c r="F150" s="2"/>
      <c r="G150" s="2" t="s">
        <v>16</v>
      </c>
      <c r="H150" s="2">
        <v>-20.9892</v>
      </c>
      <c r="I150" s="2">
        <v>-31.453199999999999</v>
      </c>
      <c r="J150" s="2">
        <v>-0.62229999999999996</v>
      </c>
      <c r="K150" s="2">
        <v>1.2646999999999999</v>
      </c>
      <c r="L150" s="2">
        <v>1.1075999999999999</v>
      </c>
      <c r="M150" s="2">
        <v>208.96039999999999</v>
      </c>
    </row>
    <row r="151" spans="2:13" hidden="1" x14ac:dyDescent="0.3">
      <c r="B151" s="2">
        <v>-1</v>
      </c>
      <c r="C151" s="2" t="s">
        <v>37</v>
      </c>
      <c r="D151" s="2" t="s">
        <v>25</v>
      </c>
      <c r="E151" s="2" t="s">
        <v>24</v>
      </c>
      <c r="F151" s="2"/>
      <c r="G151" s="2" t="s">
        <v>17</v>
      </c>
      <c r="H151" s="2">
        <v>-35.802100000000003</v>
      </c>
      <c r="I151" s="2">
        <v>-31.453199999999999</v>
      </c>
      <c r="J151" s="2">
        <v>-0.62229999999999996</v>
      </c>
      <c r="K151" s="2">
        <v>1.2646999999999999</v>
      </c>
      <c r="L151" s="2">
        <v>-0.51039999999999996</v>
      </c>
      <c r="M151" s="2">
        <v>127.182</v>
      </c>
    </row>
    <row r="152" spans="2:13" hidden="1" x14ac:dyDescent="0.3">
      <c r="B152" s="2">
        <v>-1</v>
      </c>
      <c r="C152" s="2" t="s">
        <v>37</v>
      </c>
      <c r="D152" s="2" t="s">
        <v>26</v>
      </c>
      <c r="E152" s="2" t="s">
        <v>24</v>
      </c>
      <c r="F152" s="2" t="s">
        <v>21</v>
      </c>
      <c r="G152" s="2" t="s">
        <v>16</v>
      </c>
      <c r="H152" s="2">
        <v>28.535699999999999</v>
      </c>
      <c r="I152" s="2">
        <v>11.3309</v>
      </c>
      <c r="J152" s="2">
        <v>1.8734</v>
      </c>
      <c r="K152" s="2">
        <v>1.3320000000000001</v>
      </c>
      <c r="L152" s="2">
        <v>3.1684999999999999</v>
      </c>
      <c r="M152" s="2">
        <v>149.87</v>
      </c>
    </row>
    <row r="153" spans="2:13" hidden="1" x14ac:dyDescent="0.3">
      <c r="B153" s="2">
        <v>-1</v>
      </c>
      <c r="C153" s="2" t="s">
        <v>37</v>
      </c>
      <c r="D153" s="2" t="s">
        <v>26</v>
      </c>
      <c r="E153" s="2" t="s">
        <v>24</v>
      </c>
      <c r="F153" s="2" t="s">
        <v>21</v>
      </c>
      <c r="G153" s="2" t="s">
        <v>17</v>
      </c>
      <c r="H153" s="2">
        <v>17.426100000000002</v>
      </c>
      <c r="I153" s="2">
        <v>11.3309</v>
      </c>
      <c r="J153" s="2">
        <v>1.8734</v>
      </c>
      <c r="K153" s="2">
        <v>1.3320000000000001</v>
      </c>
      <c r="L153" s="2">
        <v>2.6459999999999999</v>
      </c>
      <c r="M153" s="2">
        <v>108.69240000000001</v>
      </c>
    </row>
    <row r="154" spans="2:13" hidden="1" x14ac:dyDescent="0.3">
      <c r="B154" s="2">
        <v>-1</v>
      </c>
      <c r="C154" s="2" t="s">
        <v>37</v>
      </c>
      <c r="D154" s="2" t="s">
        <v>26</v>
      </c>
      <c r="E154" s="2" t="s">
        <v>24</v>
      </c>
      <c r="F154" s="2" t="s">
        <v>27</v>
      </c>
      <c r="G154" s="2" t="s">
        <v>16</v>
      </c>
      <c r="H154" s="2">
        <v>-28.261800000000001</v>
      </c>
      <c r="I154" s="2">
        <v>-37.072699999999998</v>
      </c>
      <c r="J154" s="2">
        <v>-2.3906999999999998</v>
      </c>
      <c r="K154" s="2">
        <v>-0.3594</v>
      </c>
      <c r="L154" s="2">
        <v>-2.2261000000000002</v>
      </c>
      <c r="M154" s="2">
        <v>42.703000000000003</v>
      </c>
    </row>
    <row r="155" spans="2:13" hidden="1" x14ac:dyDescent="0.3">
      <c r="B155" s="2">
        <v>-1</v>
      </c>
      <c r="C155" s="2" t="s">
        <v>37</v>
      </c>
      <c r="D155" s="2" t="s">
        <v>26</v>
      </c>
      <c r="E155" s="2" t="s">
        <v>24</v>
      </c>
      <c r="F155" s="2" t="s">
        <v>27</v>
      </c>
      <c r="G155" s="2" t="s">
        <v>17</v>
      </c>
      <c r="H155" s="2">
        <v>-39.371400000000001</v>
      </c>
      <c r="I155" s="2">
        <v>-37.072699999999998</v>
      </c>
      <c r="J155" s="2">
        <v>-2.3906999999999998</v>
      </c>
      <c r="K155" s="2">
        <v>-0.3594</v>
      </c>
      <c r="L155" s="2">
        <v>-3.0488</v>
      </c>
      <c r="M155" s="2">
        <v>16.952000000000002</v>
      </c>
    </row>
    <row r="156" spans="2:13" hidden="1" x14ac:dyDescent="0.3">
      <c r="B156" s="2">
        <v>-1</v>
      </c>
      <c r="C156" s="2" t="s">
        <v>37</v>
      </c>
      <c r="D156" s="2" t="s">
        <v>28</v>
      </c>
      <c r="E156" s="2" t="s">
        <v>24</v>
      </c>
      <c r="F156" s="2" t="s">
        <v>21</v>
      </c>
      <c r="G156" s="2" t="s">
        <v>16</v>
      </c>
      <c r="H156" s="2">
        <v>15.3489</v>
      </c>
      <c r="I156" s="2">
        <v>-1.8918999999999999</v>
      </c>
      <c r="J156" s="2">
        <v>1.6137999999999999</v>
      </c>
      <c r="K156" s="2">
        <v>1.8793</v>
      </c>
      <c r="L156" s="2">
        <v>3.6252</v>
      </c>
      <c r="M156" s="2">
        <v>232.3271</v>
      </c>
    </row>
    <row r="157" spans="2:13" hidden="1" x14ac:dyDescent="0.3">
      <c r="B157" s="2">
        <v>-1</v>
      </c>
      <c r="C157" s="2" t="s">
        <v>37</v>
      </c>
      <c r="D157" s="2" t="s">
        <v>28</v>
      </c>
      <c r="E157" s="2" t="s">
        <v>24</v>
      </c>
      <c r="F157" s="2" t="s">
        <v>21</v>
      </c>
      <c r="G157" s="2" t="s">
        <v>17</v>
      </c>
      <c r="H157" s="2">
        <v>0.53610000000000002</v>
      </c>
      <c r="I157" s="2">
        <v>-1.8918999999999999</v>
      </c>
      <c r="J157" s="2">
        <v>1.6137999999999999</v>
      </c>
      <c r="K157" s="2">
        <v>1.8793</v>
      </c>
      <c r="L157" s="2">
        <v>2.4277000000000002</v>
      </c>
      <c r="M157" s="2">
        <v>156.77010000000001</v>
      </c>
    </row>
    <row r="158" spans="2:13" hidden="1" x14ac:dyDescent="0.3">
      <c r="B158" s="2">
        <v>-1</v>
      </c>
      <c r="C158" s="2" t="s">
        <v>37</v>
      </c>
      <c r="D158" s="2" t="s">
        <v>28</v>
      </c>
      <c r="E158" s="2" t="s">
        <v>24</v>
      </c>
      <c r="F158" s="2" t="s">
        <v>27</v>
      </c>
      <c r="G158" s="2" t="s">
        <v>16</v>
      </c>
      <c r="H158" s="2">
        <v>-41.448500000000003</v>
      </c>
      <c r="I158" s="2">
        <v>-50.295499999999997</v>
      </c>
      <c r="J158" s="2">
        <v>-2.6503999999999999</v>
      </c>
      <c r="K158" s="2">
        <v>0.18790000000000001</v>
      </c>
      <c r="L158" s="2">
        <v>-1.7695000000000001</v>
      </c>
      <c r="M158" s="2">
        <v>125.16</v>
      </c>
    </row>
    <row r="159" spans="2:13" hidden="1" x14ac:dyDescent="0.3">
      <c r="B159" s="2">
        <v>-1</v>
      </c>
      <c r="C159" s="2" t="s">
        <v>37</v>
      </c>
      <c r="D159" s="2" t="s">
        <v>28</v>
      </c>
      <c r="E159" s="2" t="s">
        <v>24</v>
      </c>
      <c r="F159" s="2" t="s">
        <v>27</v>
      </c>
      <c r="G159" s="2" t="s">
        <v>17</v>
      </c>
      <c r="H159" s="2">
        <v>-56.261400000000002</v>
      </c>
      <c r="I159" s="2">
        <v>-50.295499999999997</v>
      </c>
      <c r="J159" s="2">
        <v>-2.6503999999999999</v>
      </c>
      <c r="K159" s="2">
        <v>0.18790000000000001</v>
      </c>
      <c r="L159" s="2">
        <v>-3.2671999999999999</v>
      </c>
      <c r="M159" s="2">
        <v>65.029700000000005</v>
      </c>
    </row>
    <row r="160" spans="2:13" hidden="1" x14ac:dyDescent="0.3">
      <c r="B160" s="2">
        <v>-1</v>
      </c>
      <c r="C160" s="2" t="s">
        <v>37</v>
      </c>
      <c r="D160" s="2" t="s">
        <v>29</v>
      </c>
      <c r="E160" s="2" t="s">
        <v>24</v>
      </c>
      <c r="F160" s="2" t="s">
        <v>21</v>
      </c>
      <c r="G160" s="2" t="s">
        <v>16</v>
      </c>
      <c r="H160" s="2">
        <v>-9.1189</v>
      </c>
      <c r="I160" s="2">
        <v>56.253599999999999</v>
      </c>
      <c r="J160" s="2">
        <v>-0.43969999999999998</v>
      </c>
      <c r="K160" s="2">
        <v>1.1573</v>
      </c>
      <c r="L160" s="2">
        <v>1.0133000000000001</v>
      </c>
      <c r="M160" s="2">
        <v>225.91730000000001</v>
      </c>
    </row>
    <row r="161" spans="2:13" hidden="1" x14ac:dyDescent="0.3">
      <c r="B161" s="2">
        <v>-1</v>
      </c>
      <c r="C161" s="2" t="s">
        <v>37</v>
      </c>
      <c r="D161" s="2" t="s">
        <v>29</v>
      </c>
      <c r="E161" s="2" t="s">
        <v>24</v>
      </c>
      <c r="F161" s="2" t="s">
        <v>21</v>
      </c>
      <c r="G161" s="2" t="s">
        <v>17</v>
      </c>
      <c r="H161" s="2">
        <v>-23.931699999999999</v>
      </c>
      <c r="I161" s="2">
        <v>56.253599999999999</v>
      </c>
      <c r="J161" s="2">
        <v>-0.43969999999999998</v>
      </c>
      <c r="K161" s="2">
        <v>1.1573</v>
      </c>
      <c r="L161" s="2">
        <v>-0.27960000000000002</v>
      </c>
      <c r="M161" s="2">
        <v>286.40570000000002</v>
      </c>
    </row>
    <row r="162" spans="2:13" hidden="1" x14ac:dyDescent="0.3">
      <c r="B162" s="2">
        <v>-1</v>
      </c>
      <c r="C162" s="2" t="s">
        <v>37</v>
      </c>
      <c r="D162" s="2" t="s">
        <v>29</v>
      </c>
      <c r="E162" s="2" t="s">
        <v>24</v>
      </c>
      <c r="F162" s="2" t="s">
        <v>27</v>
      </c>
      <c r="G162" s="2" t="s">
        <v>16</v>
      </c>
      <c r="H162" s="2">
        <v>-16.980699999999999</v>
      </c>
      <c r="I162" s="2">
        <v>-108.441</v>
      </c>
      <c r="J162" s="2">
        <v>-0.59689999999999999</v>
      </c>
      <c r="K162" s="2">
        <v>0.90990000000000004</v>
      </c>
      <c r="L162" s="2">
        <v>0.84240000000000004</v>
      </c>
      <c r="M162" s="2">
        <v>131.56979999999999</v>
      </c>
    </row>
    <row r="163" spans="2:13" hidden="1" x14ac:dyDescent="0.3">
      <c r="B163" s="2">
        <v>-1</v>
      </c>
      <c r="C163" s="2" t="s">
        <v>37</v>
      </c>
      <c r="D163" s="2" t="s">
        <v>29</v>
      </c>
      <c r="E163" s="2" t="s">
        <v>24</v>
      </c>
      <c r="F163" s="2" t="s">
        <v>27</v>
      </c>
      <c r="G163" s="2" t="s">
        <v>17</v>
      </c>
      <c r="H163" s="2">
        <v>-31.793500000000002</v>
      </c>
      <c r="I163" s="2">
        <v>-108.441</v>
      </c>
      <c r="J163" s="2">
        <v>-0.59689999999999999</v>
      </c>
      <c r="K163" s="2">
        <v>0.90990000000000004</v>
      </c>
      <c r="L163" s="2">
        <v>-0.55989999999999995</v>
      </c>
      <c r="M163" s="2">
        <v>-64.605999999999995</v>
      </c>
    </row>
    <row r="164" spans="2:13" hidden="1" x14ac:dyDescent="0.3">
      <c r="B164" s="2">
        <v>-1</v>
      </c>
      <c r="C164" s="2" t="s">
        <v>37</v>
      </c>
      <c r="D164" s="2" t="s">
        <v>30</v>
      </c>
      <c r="E164" s="2" t="s">
        <v>24</v>
      </c>
      <c r="F164" s="2" t="s">
        <v>21</v>
      </c>
      <c r="G164" s="2" t="s">
        <v>16</v>
      </c>
      <c r="H164" s="2">
        <v>28.535699999999999</v>
      </c>
      <c r="I164" s="2">
        <v>69.476399999999998</v>
      </c>
      <c r="J164" s="2">
        <v>1.8734</v>
      </c>
      <c r="K164" s="2">
        <v>1.8793</v>
      </c>
      <c r="L164" s="2">
        <v>3.6252</v>
      </c>
      <c r="M164" s="2">
        <v>232.3271</v>
      </c>
    </row>
    <row r="165" spans="2:13" hidden="1" x14ac:dyDescent="0.3">
      <c r="B165" s="2">
        <v>-1</v>
      </c>
      <c r="C165" s="2" t="s">
        <v>37</v>
      </c>
      <c r="D165" s="2" t="s">
        <v>30</v>
      </c>
      <c r="E165" s="2" t="s">
        <v>24</v>
      </c>
      <c r="F165" s="2" t="s">
        <v>21</v>
      </c>
      <c r="G165" s="2" t="s">
        <v>17</v>
      </c>
      <c r="H165" s="2">
        <v>17.426100000000002</v>
      </c>
      <c r="I165" s="2">
        <v>69.476399999999998</v>
      </c>
      <c r="J165" s="2">
        <v>1.8734</v>
      </c>
      <c r="K165" s="2">
        <v>1.8793</v>
      </c>
      <c r="L165" s="2">
        <v>2.6459999999999999</v>
      </c>
      <c r="M165" s="2">
        <v>286.40570000000002</v>
      </c>
    </row>
    <row r="166" spans="2:13" hidden="1" x14ac:dyDescent="0.3">
      <c r="B166" s="2">
        <v>-1</v>
      </c>
      <c r="C166" s="2" t="s">
        <v>37</v>
      </c>
      <c r="D166" s="2" t="s">
        <v>30</v>
      </c>
      <c r="E166" s="2" t="s">
        <v>24</v>
      </c>
      <c r="F166" s="2" t="s">
        <v>27</v>
      </c>
      <c r="G166" s="2" t="s">
        <v>16</v>
      </c>
      <c r="H166" s="2">
        <v>-41.448500000000003</v>
      </c>
      <c r="I166" s="2">
        <v>-108.441</v>
      </c>
      <c r="J166" s="2">
        <v>-2.6503999999999999</v>
      </c>
      <c r="K166" s="2">
        <v>-0.3594</v>
      </c>
      <c r="L166" s="2">
        <v>-2.2261000000000002</v>
      </c>
      <c r="M166" s="2">
        <v>42.703000000000003</v>
      </c>
    </row>
    <row r="167" spans="2:13" hidden="1" x14ac:dyDescent="0.3">
      <c r="B167" s="2">
        <v>-1</v>
      </c>
      <c r="C167" s="2" t="s">
        <v>37</v>
      </c>
      <c r="D167" s="2" t="s">
        <v>30</v>
      </c>
      <c r="E167" s="2" t="s">
        <v>24</v>
      </c>
      <c r="F167" s="2" t="s">
        <v>27</v>
      </c>
      <c r="G167" s="2" t="s">
        <v>17</v>
      </c>
      <c r="H167" s="2">
        <v>-56.261400000000002</v>
      </c>
      <c r="I167" s="2">
        <v>-108.441</v>
      </c>
      <c r="J167" s="2">
        <v>-2.6503999999999999</v>
      </c>
      <c r="K167" s="2">
        <v>-0.3594</v>
      </c>
      <c r="L167" s="2">
        <v>-3.2671999999999999</v>
      </c>
      <c r="M167" s="2">
        <v>-112.6837</v>
      </c>
    </row>
    <row r="168" spans="2:13" hidden="1" x14ac:dyDescent="0.3">
      <c r="B168" s="2">
        <v>-1</v>
      </c>
      <c r="C168" s="2" t="s">
        <v>37</v>
      </c>
      <c r="D168" s="2" t="s">
        <v>31</v>
      </c>
      <c r="E168" s="2" t="s">
        <v>24</v>
      </c>
      <c r="F168" s="2" t="s">
        <v>21</v>
      </c>
      <c r="G168" s="2" t="s">
        <v>16</v>
      </c>
      <c r="H168" s="2">
        <v>4.0678000000000001</v>
      </c>
      <c r="I168" s="2">
        <v>69.476399999999998</v>
      </c>
      <c r="J168" s="2">
        <v>-0.18</v>
      </c>
      <c r="K168" s="2">
        <v>0.61</v>
      </c>
      <c r="L168" s="2">
        <v>0.55659999999999998</v>
      </c>
      <c r="M168" s="2">
        <v>143.46029999999999</v>
      </c>
    </row>
    <row r="169" spans="2:13" hidden="1" x14ac:dyDescent="0.3">
      <c r="B169" s="2">
        <v>-1</v>
      </c>
      <c r="C169" s="2" t="s">
        <v>37</v>
      </c>
      <c r="D169" s="2" t="s">
        <v>31</v>
      </c>
      <c r="E169" s="2" t="s">
        <v>24</v>
      </c>
      <c r="F169" s="2" t="s">
        <v>21</v>
      </c>
      <c r="G169" s="2" t="s">
        <v>17</v>
      </c>
      <c r="H169" s="2">
        <v>-7.0418000000000003</v>
      </c>
      <c r="I169" s="2">
        <v>69.476399999999998</v>
      </c>
      <c r="J169" s="2">
        <v>-0.18</v>
      </c>
      <c r="K169" s="2">
        <v>0.61</v>
      </c>
      <c r="L169" s="2">
        <v>-6.1199999999999997E-2</v>
      </c>
      <c r="M169" s="2">
        <v>238.32810000000001</v>
      </c>
    </row>
    <row r="170" spans="2:13" hidden="1" x14ac:dyDescent="0.3">
      <c r="B170" s="2">
        <v>-1</v>
      </c>
      <c r="C170" s="2" t="s">
        <v>37</v>
      </c>
      <c r="D170" s="2" t="s">
        <v>31</v>
      </c>
      <c r="E170" s="2" t="s">
        <v>24</v>
      </c>
      <c r="F170" s="2" t="s">
        <v>27</v>
      </c>
      <c r="G170" s="2" t="s">
        <v>16</v>
      </c>
      <c r="H170" s="2">
        <v>-3.7938999999999998</v>
      </c>
      <c r="I170" s="2">
        <v>-95.218199999999996</v>
      </c>
      <c r="J170" s="2">
        <v>-0.33729999999999999</v>
      </c>
      <c r="K170" s="2">
        <v>0.36259999999999998</v>
      </c>
      <c r="L170" s="2">
        <v>0.38569999999999999</v>
      </c>
      <c r="M170" s="2">
        <v>49.1128</v>
      </c>
    </row>
    <row r="171" spans="2:13" hidden="1" x14ac:dyDescent="0.3">
      <c r="B171" s="2">
        <v>-1</v>
      </c>
      <c r="C171" s="2" t="s">
        <v>37</v>
      </c>
      <c r="D171" s="2" t="s">
        <v>31</v>
      </c>
      <c r="E171" s="2" t="s">
        <v>24</v>
      </c>
      <c r="F171" s="2" t="s">
        <v>27</v>
      </c>
      <c r="G171" s="2" t="s">
        <v>17</v>
      </c>
      <c r="H171" s="2">
        <v>-14.903499999999999</v>
      </c>
      <c r="I171" s="2">
        <v>-95.218199999999996</v>
      </c>
      <c r="J171" s="2">
        <v>-0.33729999999999999</v>
      </c>
      <c r="K171" s="2">
        <v>0.36259999999999998</v>
      </c>
      <c r="L171" s="2">
        <v>-0.34160000000000001</v>
      </c>
      <c r="M171" s="2">
        <v>-112.6837</v>
      </c>
    </row>
    <row r="172" spans="2:13" hidden="1" x14ac:dyDescent="0.3">
      <c r="B172" s="2">
        <v>-1</v>
      </c>
      <c r="C172" s="2" t="s">
        <v>37</v>
      </c>
      <c r="D172" s="2" t="s">
        <v>32</v>
      </c>
      <c r="E172" s="2" t="s">
        <v>24</v>
      </c>
      <c r="F172" s="2"/>
      <c r="G172" s="2" t="s">
        <v>16</v>
      </c>
      <c r="H172" s="2">
        <v>-13.0802</v>
      </c>
      <c r="I172" s="2">
        <v>-23.233499999999999</v>
      </c>
      <c r="J172" s="2">
        <v>-0.46079999999999999</v>
      </c>
      <c r="K172" s="2">
        <v>0.92549999999999999</v>
      </c>
      <c r="L172" s="2">
        <v>0.82310000000000005</v>
      </c>
      <c r="M172" s="2">
        <v>157.34649999999999</v>
      </c>
    </row>
    <row r="173" spans="2:13" hidden="1" x14ac:dyDescent="0.3">
      <c r="B173" s="2">
        <v>-1</v>
      </c>
      <c r="C173" s="2" t="s">
        <v>37</v>
      </c>
      <c r="D173" s="2" t="s">
        <v>32</v>
      </c>
      <c r="E173" s="2" t="s">
        <v>24</v>
      </c>
      <c r="F173" s="2"/>
      <c r="G173" s="2" t="s">
        <v>17</v>
      </c>
      <c r="H173" s="2">
        <v>-25.424299999999999</v>
      </c>
      <c r="I173" s="2">
        <v>-23.233499999999999</v>
      </c>
      <c r="J173" s="2">
        <v>-0.46079999999999999</v>
      </c>
      <c r="K173" s="2">
        <v>0.92549999999999999</v>
      </c>
      <c r="L173" s="2">
        <v>-0.375</v>
      </c>
      <c r="M173" s="2">
        <v>96.939400000000006</v>
      </c>
    </row>
  </sheetData>
  <autoFilter ref="B2:M173" xr:uid="{C4F9EAE2-DF5C-4C06-BE83-98F9628D02C1}">
    <filterColumn colId="2">
      <filters>
        <filter val="PP"/>
        <filter val="SC"/>
        <filter val="SX"/>
        <filter val="SY"/>
      </filters>
    </filterColumn>
  </autoFilter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8FEC-9266-4C21-8C7E-D7AC96947D8F}">
  <dimension ref="B2:V71"/>
  <sheetViews>
    <sheetView topLeftCell="D1" workbookViewId="0">
      <selection activeCell="N12" sqref="N1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50</v>
      </c>
      <c r="D4" s="2" t="s">
        <v>14</v>
      </c>
      <c r="E4" s="2" t="s">
        <v>15</v>
      </c>
      <c r="F4" s="2"/>
      <c r="G4" s="2" t="s">
        <v>16</v>
      </c>
      <c r="H4" s="2">
        <v>-312.6755</v>
      </c>
      <c r="I4" s="2">
        <v>-3.3481999999999998</v>
      </c>
      <c r="J4" s="2">
        <v>-0.52229999999999999</v>
      </c>
      <c r="K4" s="2">
        <v>0.19520000000000001</v>
      </c>
      <c r="L4" s="2">
        <v>0.93679999999999997</v>
      </c>
      <c r="M4" s="2">
        <v>-1.3796999999999999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50</v>
      </c>
      <c r="D5" s="2" t="s">
        <v>14</v>
      </c>
      <c r="E5" s="2" t="s">
        <v>15</v>
      </c>
      <c r="F5" s="2"/>
      <c r="G5" s="2" t="s">
        <v>17</v>
      </c>
      <c r="H5" s="2">
        <v>-318.85050000000001</v>
      </c>
      <c r="I5" s="2">
        <v>-3.3481999999999998</v>
      </c>
      <c r="J5" s="2">
        <v>-0.52229999999999999</v>
      </c>
      <c r="K5" s="2">
        <v>0.19520000000000001</v>
      </c>
      <c r="L5" s="2">
        <v>-0.42109999999999997</v>
      </c>
      <c r="M5" s="2">
        <v>-10.085100000000001</v>
      </c>
      <c r="O5" s="9" t="s">
        <v>50</v>
      </c>
      <c r="P5" s="9" t="s">
        <v>14</v>
      </c>
      <c r="Q5" s="11">
        <f t="shared" ref="Q5:Q12" si="0">_xlfn.MAXIFS($I$4:$I$70,$C$4:$C$70,$O5,$D$4:$D$70,$P5)</f>
        <v>-3.3481999999999998</v>
      </c>
      <c r="R5" s="11">
        <f t="shared" ref="R5:R12" si="1">_xlfn.MINIFS($I$4:$I$70,$C$4:$C$70,$O5,$D$4:$D$70,$P5)</f>
        <v>-3.3481999999999998</v>
      </c>
      <c r="S5" s="11">
        <f t="shared" ref="S5:S12" si="2">_xlfn.MAXIFS($M$4:$M$70,$C$4:$C$70,$O5,$D$4:$D$70,$P5)</f>
        <v>-1.3796999999999999</v>
      </c>
      <c r="T5" s="11">
        <f t="shared" ref="T5:T12" si="3">_xlfn.MINIFS($M$4:$M$70,$C$4:$C$70,$O5,$D$4:$D$70,$P5)</f>
        <v>-10.085100000000001</v>
      </c>
      <c r="U5" s="11">
        <f t="shared" ref="U5:U12" si="4">_xlfn.MAXIFS($H$4:$H$70,$C$4:$C$70,$O5,$D$4:$D$70,$P5)</f>
        <v>-312.6755</v>
      </c>
      <c r="V5" s="11">
        <f t="shared" ref="V5:V12" si="5">_xlfn.MINIFS($H$4:$H$70,$C$4:$C$70,$O5,$D$4:$D$70,$P5)</f>
        <v>-318.85050000000001</v>
      </c>
    </row>
    <row r="6" spans="2:22" x14ac:dyDescent="0.3">
      <c r="B6" s="2">
        <v>-1</v>
      </c>
      <c r="C6" s="2" t="s">
        <v>50</v>
      </c>
      <c r="D6" s="2" t="s">
        <v>18</v>
      </c>
      <c r="E6" s="2" t="s">
        <v>15</v>
      </c>
      <c r="F6" s="2"/>
      <c r="G6" s="2" t="s">
        <v>16</v>
      </c>
      <c r="H6" s="2">
        <v>-77.018500000000003</v>
      </c>
      <c r="I6" s="2">
        <v>-5.8105000000000002</v>
      </c>
      <c r="J6" s="2">
        <v>-1.1420999999999999</v>
      </c>
      <c r="K6" s="2">
        <v>0.59009999999999996</v>
      </c>
      <c r="L6" s="2">
        <v>1.9988999999999999</v>
      </c>
      <c r="M6" s="2">
        <v>7.1279000000000003</v>
      </c>
      <c r="O6" s="9" t="s">
        <v>50</v>
      </c>
      <c r="P6" s="9" t="s">
        <v>18</v>
      </c>
      <c r="Q6" s="11">
        <f t="shared" si="0"/>
        <v>-5.8105000000000002</v>
      </c>
      <c r="R6" s="11">
        <f t="shared" si="1"/>
        <v>-5.8105000000000002</v>
      </c>
      <c r="S6" s="11">
        <f t="shared" si="2"/>
        <v>7.1279000000000003</v>
      </c>
      <c r="T6" s="11">
        <f t="shared" si="3"/>
        <v>-7.9794999999999998</v>
      </c>
      <c r="U6" s="11">
        <f t="shared" si="4"/>
        <v>-77.018500000000003</v>
      </c>
      <c r="V6" s="11">
        <f t="shared" si="5"/>
        <v>-77.018500000000003</v>
      </c>
    </row>
    <row r="7" spans="2:22" x14ac:dyDescent="0.3">
      <c r="B7" s="2">
        <v>-1</v>
      </c>
      <c r="C7" s="2" t="s">
        <v>50</v>
      </c>
      <c r="D7" s="2" t="s">
        <v>18</v>
      </c>
      <c r="E7" s="2" t="s">
        <v>15</v>
      </c>
      <c r="F7" s="2"/>
      <c r="G7" s="2" t="s">
        <v>17</v>
      </c>
      <c r="H7" s="2">
        <v>-77.018500000000003</v>
      </c>
      <c r="I7" s="2">
        <v>-5.8105000000000002</v>
      </c>
      <c r="J7" s="2">
        <v>-1.1420999999999999</v>
      </c>
      <c r="K7" s="2">
        <v>0.59009999999999996</v>
      </c>
      <c r="L7" s="2">
        <v>-0.97060000000000002</v>
      </c>
      <c r="M7" s="2">
        <v>-7.9794999999999998</v>
      </c>
      <c r="O7" s="9" t="s">
        <v>50</v>
      </c>
      <c r="P7" s="9" t="s">
        <v>19</v>
      </c>
      <c r="Q7" s="11">
        <f t="shared" si="0"/>
        <v>19.294799999999999</v>
      </c>
      <c r="R7" s="11">
        <f t="shared" si="1"/>
        <v>19.294799999999999</v>
      </c>
      <c r="S7" s="11">
        <f t="shared" si="2"/>
        <v>72.202100000000002</v>
      </c>
      <c r="T7" s="11">
        <f t="shared" si="3"/>
        <v>32.249000000000002</v>
      </c>
      <c r="U7" s="11">
        <f t="shared" si="4"/>
        <v>181.07660000000001</v>
      </c>
      <c r="V7" s="11">
        <f t="shared" si="5"/>
        <v>181.07660000000001</v>
      </c>
    </row>
    <row r="8" spans="2:22" x14ac:dyDescent="0.3">
      <c r="B8" s="2">
        <v>-1</v>
      </c>
      <c r="C8" s="2" t="s">
        <v>50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181.07660000000001</v>
      </c>
      <c r="I8" s="2">
        <v>19.294799999999999</v>
      </c>
      <c r="J8" s="2">
        <v>0.45019999999999999</v>
      </c>
      <c r="K8" s="2">
        <v>0.15759999999999999</v>
      </c>
      <c r="L8" s="2">
        <v>0.88070000000000004</v>
      </c>
      <c r="M8" s="2">
        <v>72.202100000000002</v>
      </c>
      <c r="O8" s="9" t="s">
        <v>50</v>
      </c>
      <c r="P8" s="9" t="s">
        <v>22</v>
      </c>
      <c r="Q8" s="11">
        <f t="shared" si="0"/>
        <v>10.468</v>
      </c>
      <c r="R8" s="11">
        <f t="shared" si="1"/>
        <v>10.468</v>
      </c>
      <c r="S8" s="11">
        <f t="shared" si="2"/>
        <v>97.048599999999993</v>
      </c>
      <c r="T8" s="11">
        <f t="shared" si="3"/>
        <v>79.764300000000006</v>
      </c>
      <c r="U8" s="11">
        <f t="shared" si="4"/>
        <v>156.9889</v>
      </c>
      <c r="V8" s="11">
        <f t="shared" si="5"/>
        <v>156.9889</v>
      </c>
    </row>
    <row r="9" spans="2:22" x14ac:dyDescent="0.3">
      <c r="B9" s="2">
        <v>-1</v>
      </c>
      <c r="C9" s="2" t="s">
        <v>50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181.07660000000001</v>
      </c>
      <c r="I9" s="2">
        <v>19.294799999999999</v>
      </c>
      <c r="J9" s="2">
        <v>0.45019999999999999</v>
      </c>
      <c r="K9" s="2">
        <v>0.15759999999999999</v>
      </c>
      <c r="L9" s="2">
        <v>0.70909999999999995</v>
      </c>
      <c r="M9" s="2">
        <v>32.249000000000002</v>
      </c>
      <c r="O9" s="9" t="s">
        <v>51</v>
      </c>
      <c r="P9" s="9" t="s">
        <v>14</v>
      </c>
      <c r="Q9" s="11">
        <f t="shared" si="0"/>
        <v>0.6774</v>
      </c>
      <c r="R9" s="11">
        <f t="shared" si="1"/>
        <v>0.6774</v>
      </c>
      <c r="S9" s="11">
        <f t="shared" si="2"/>
        <v>0.45669999999999999</v>
      </c>
      <c r="T9" s="11">
        <f t="shared" si="3"/>
        <v>-1.3045</v>
      </c>
      <c r="U9" s="11">
        <f t="shared" si="4"/>
        <v>-100.2474</v>
      </c>
      <c r="V9" s="11">
        <f t="shared" si="5"/>
        <v>-102.33150000000001</v>
      </c>
    </row>
    <row r="10" spans="2:22" x14ac:dyDescent="0.3">
      <c r="B10" s="2">
        <v>-1</v>
      </c>
      <c r="C10" s="2" t="s">
        <v>50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156.9889</v>
      </c>
      <c r="I10" s="2">
        <v>10.468</v>
      </c>
      <c r="J10" s="2">
        <v>0.21609999999999999</v>
      </c>
      <c r="K10" s="2">
        <v>9.7600000000000006E-2</v>
      </c>
      <c r="L10" s="2">
        <v>0.40239999999999998</v>
      </c>
      <c r="M10" s="2">
        <v>97.048599999999993</v>
      </c>
      <c r="O10" s="9" t="s">
        <v>51</v>
      </c>
      <c r="P10" s="9" t="s">
        <v>18</v>
      </c>
      <c r="Q10" s="11">
        <f t="shared" si="0"/>
        <v>1.0105999999999999</v>
      </c>
      <c r="R10" s="11">
        <f t="shared" si="1"/>
        <v>1.0105999999999999</v>
      </c>
      <c r="S10" s="11">
        <f t="shared" si="2"/>
        <v>0.90790000000000004</v>
      </c>
      <c r="T10" s="11">
        <f t="shared" si="3"/>
        <v>-1.7198</v>
      </c>
      <c r="U10" s="11">
        <f t="shared" si="4"/>
        <v>-23.790400000000002</v>
      </c>
      <c r="V10" s="11">
        <f t="shared" si="5"/>
        <v>-23.790400000000002</v>
      </c>
    </row>
    <row r="11" spans="2:22" x14ac:dyDescent="0.3">
      <c r="B11" s="2">
        <v>-1</v>
      </c>
      <c r="C11" s="2" t="s">
        <v>50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156.9889</v>
      </c>
      <c r="I11" s="2">
        <v>10.468</v>
      </c>
      <c r="J11" s="2">
        <v>0.21609999999999999</v>
      </c>
      <c r="K11" s="2">
        <v>9.7600000000000006E-2</v>
      </c>
      <c r="L11" s="2">
        <v>0.1641</v>
      </c>
      <c r="M11" s="2">
        <v>79.764300000000006</v>
      </c>
      <c r="O11" s="9" t="s">
        <v>51</v>
      </c>
      <c r="P11" s="9" t="s">
        <v>19</v>
      </c>
      <c r="Q11" s="11">
        <f t="shared" si="0"/>
        <v>9.6560000000000006</v>
      </c>
      <c r="R11" s="11">
        <f t="shared" si="1"/>
        <v>9.6560000000000006</v>
      </c>
      <c r="S11" s="11">
        <f t="shared" si="2"/>
        <v>16.524100000000001</v>
      </c>
      <c r="T11" s="11">
        <f t="shared" si="3"/>
        <v>10.513199999999999</v>
      </c>
      <c r="U11" s="11">
        <f t="shared" si="4"/>
        <v>75.802899999999994</v>
      </c>
      <c r="V11" s="11">
        <f t="shared" si="5"/>
        <v>75.802899999999994</v>
      </c>
    </row>
    <row r="12" spans="2:22" x14ac:dyDescent="0.3">
      <c r="B12" s="2">
        <v>-1</v>
      </c>
      <c r="C12" s="2" t="s">
        <v>50</v>
      </c>
      <c r="D12" s="2" t="s">
        <v>23</v>
      </c>
      <c r="E12" s="2" t="s">
        <v>24</v>
      </c>
      <c r="F12" s="2"/>
      <c r="G12" s="2" t="s">
        <v>16</v>
      </c>
      <c r="H12" s="2">
        <v>-437.74560000000002</v>
      </c>
      <c r="I12" s="2">
        <v>-4.6875</v>
      </c>
      <c r="J12" s="2">
        <v>-0.73119999999999996</v>
      </c>
      <c r="K12" s="2">
        <v>0.2732</v>
      </c>
      <c r="L12" s="2">
        <v>1.3115000000000001</v>
      </c>
      <c r="M12" s="2">
        <v>-1.9316</v>
      </c>
      <c r="O12" s="9" t="s">
        <v>51</v>
      </c>
      <c r="P12" s="9" t="s">
        <v>22</v>
      </c>
      <c r="Q12" s="11">
        <f t="shared" si="0"/>
        <v>5.4242999999999997</v>
      </c>
      <c r="R12" s="11">
        <f t="shared" si="1"/>
        <v>5.4242999999999997</v>
      </c>
      <c r="S12" s="11">
        <f t="shared" si="2"/>
        <v>8.6387999999999998</v>
      </c>
      <c r="T12" s="11">
        <f t="shared" si="3"/>
        <v>5.4657999999999998</v>
      </c>
      <c r="U12" s="11">
        <f t="shared" si="4"/>
        <v>99.207400000000007</v>
      </c>
      <c r="V12" s="11">
        <f t="shared" si="5"/>
        <v>99.207400000000007</v>
      </c>
    </row>
    <row r="13" spans="2:22" x14ac:dyDescent="0.3">
      <c r="B13" s="2">
        <v>-1</v>
      </c>
      <c r="C13" s="2" t="s">
        <v>50</v>
      </c>
      <c r="D13" s="2" t="s">
        <v>23</v>
      </c>
      <c r="E13" s="2" t="s">
        <v>24</v>
      </c>
      <c r="F13" s="2"/>
      <c r="G13" s="2" t="s">
        <v>17</v>
      </c>
      <c r="H13" s="2">
        <v>-446.39060000000001</v>
      </c>
      <c r="I13" s="2">
        <v>-4.6875</v>
      </c>
      <c r="J13" s="2">
        <v>-0.73119999999999996</v>
      </c>
      <c r="K13" s="2">
        <v>0.2732</v>
      </c>
      <c r="L13" s="2">
        <v>-0.58960000000000001</v>
      </c>
      <c r="M13" s="2">
        <v>-14.119199999999999</v>
      </c>
    </row>
    <row r="14" spans="2:22" x14ac:dyDescent="0.3">
      <c r="B14" s="2">
        <v>-1</v>
      </c>
      <c r="C14" s="2" t="s">
        <v>50</v>
      </c>
      <c r="D14" s="2" t="s">
        <v>25</v>
      </c>
      <c r="E14" s="2" t="s">
        <v>24</v>
      </c>
      <c r="F14" s="2"/>
      <c r="G14" s="2" t="s">
        <v>16</v>
      </c>
      <c r="H14" s="2">
        <v>-498.44009999999997</v>
      </c>
      <c r="I14" s="2">
        <v>-13.3147</v>
      </c>
      <c r="J14" s="2">
        <v>-2.4540999999999999</v>
      </c>
      <c r="K14" s="2">
        <v>1.1783999999999999</v>
      </c>
      <c r="L14" s="2">
        <v>4.3224</v>
      </c>
      <c r="M14" s="2">
        <v>9.7489000000000008</v>
      </c>
    </row>
    <row r="15" spans="2:22" x14ac:dyDescent="0.3">
      <c r="B15" s="2">
        <v>-1</v>
      </c>
      <c r="C15" s="2" t="s">
        <v>50</v>
      </c>
      <c r="D15" s="2" t="s">
        <v>25</v>
      </c>
      <c r="E15" s="2" t="s">
        <v>24</v>
      </c>
      <c r="F15" s="2"/>
      <c r="G15" s="2" t="s">
        <v>17</v>
      </c>
      <c r="H15" s="2">
        <v>-505.8501</v>
      </c>
      <c r="I15" s="2">
        <v>-13.3147</v>
      </c>
      <c r="J15" s="2">
        <v>-2.4540999999999999</v>
      </c>
      <c r="K15" s="2">
        <v>1.1783999999999999</v>
      </c>
      <c r="L15" s="2">
        <v>-2.0583</v>
      </c>
      <c r="M15" s="2">
        <v>-24.869299999999999</v>
      </c>
    </row>
    <row r="16" spans="2:22" x14ac:dyDescent="0.3">
      <c r="B16" s="2">
        <v>-1</v>
      </c>
      <c r="C16" s="2" t="s">
        <v>50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-27.900600000000001</v>
      </c>
      <c r="I16" s="2">
        <v>23.999300000000002</v>
      </c>
      <c r="J16" s="2">
        <v>0.16020000000000001</v>
      </c>
      <c r="K16" s="2">
        <v>0.39629999999999999</v>
      </c>
      <c r="L16" s="2">
        <v>2.0760000000000001</v>
      </c>
      <c r="M16" s="2">
        <v>99.841200000000001</v>
      </c>
    </row>
    <row r="17" spans="2:13" x14ac:dyDescent="0.3">
      <c r="B17" s="2">
        <v>-1</v>
      </c>
      <c r="C17" s="2" t="s">
        <v>50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-33.458100000000002</v>
      </c>
      <c r="I17" s="2">
        <v>23.999300000000002</v>
      </c>
      <c r="J17" s="2">
        <v>0.16020000000000001</v>
      </c>
      <c r="K17" s="2">
        <v>0.39629999999999999</v>
      </c>
      <c r="L17" s="2">
        <v>0.61370000000000002</v>
      </c>
      <c r="M17" s="2">
        <v>36.071899999999999</v>
      </c>
    </row>
    <row r="18" spans="2:13" x14ac:dyDescent="0.3">
      <c r="B18" s="2">
        <v>-1</v>
      </c>
      <c r="C18" s="2" t="s">
        <v>50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-534.91520000000003</v>
      </c>
      <c r="I18" s="2">
        <v>-30.026199999999999</v>
      </c>
      <c r="J18" s="2">
        <v>-1.1003000000000001</v>
      </c>
      <c r="K18" s="2">
        <v>-4.4999999999999998E-2</v>
      </c>
      <c r="L18" s="2">
        <v>-0.38979999999999998</v>
      </c>
      <c r="M18" s="2">
        <v>-102.32470000000001</v>
      </c>
    </row>
    <row r="19" spans="2:13" x14ac:dyDescent="0.3">
      <c r="B19" s="2">
        <v>-1</v>
      </c>
      <c r="C19" s="2" t="s">
        <v>50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-540.47270000000003</v>
      </c>
      <c r="I19" s="2">
        <v>-30.026199999999999</v>
      </c>
      <c r="J19" s="2">
        <v>-1.1003000000000001</v>
      </c>
      <c r="K19" s="2">
        <v>-4.4999999999999998E-2</v>
      </c>
      <c r="L19" s="2">
        <v>-1.3716999999999999</v>
      </c>
      <c r="M19" s="2">
        <v>-54.225200000000001</v>
      </c>
    </row>
    <row r="20" spans="2:13" x14ac:dyDescent="0.3">
      <c r="B20" s="2">
        <v>-1</v>
      </c>
      <c r="C20" s="2" t="s">
        <v>50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-198.7218</v>
      </c>
      <c r="I20" s="2">
        <v>17.1844</v>
      </c>
      <c r="J20" s="2">
        <v>-1.1386000000000001</v>
      </c>
      <c r="K20" s="2">
        <v>1.0449999999999999</v>
      </c>
      <c r="L20" s="2">
        <v>4.3559999999999999</v>
      </c>
      <c r="M20" s="2">
        <v>106.5552</v>
      </c>
    </row>
    <row r="21" spans="2:13" x14ac:dyDescent="0.3">
      <c r="B21" s="2">
        <v>-1</v>
      </c>
      <c r="C21" s="2" t="s">
        <v>50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-206.1318</v>
      </c>
      <c r="I21" s="2">
        <v>17.1844</v>
      </c>
      <c r="J21" s="2">
        <v>-1.1386000000000001</v>
      </c>
      <c r="K21" s="2">
        <v>1.0449999999999999</v>
      </c>
      <c r="L21" s="2">
        <v>-0.48320000000000002</v>
      </c>
      <c r="M21" s="2">
        <v>25.0669</v>
      </c>
    </row>
    <row r="22" spans="2:13" x14ac:dyDescent="0.3">
      <c r="B22" s="2">
        <v>-1</v>
      </c>
      <c r="C22" s="2" t="s">
        <v>50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-705.73630000000003</v>
      </c>
      <c r="I22" s="2">
        <v>-36.841200000000001</v>
      </c>
      <c r="J22" s="2">
        <v>-2.3990999999999998</v>
      </c>
      <c r="K22" s="2">
        <v>0.60370000000000001</v>
      </c>
      <c r="L22" s="2">
        <v>1.8902000000000001</v>
      </c>
      <c r="M22" s="2">
        <v>-95.610799999999998</v>
      </c>
    </row>
    <row r="23" spans="2:13" x14ac:dyDescent="0.3">
      <c r="B23" s="2">
        <v>-1</v>
      </c>
      <c r="C23" s="2" t="s">
        <v>50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-713.1463</v>
      </c>
      <c r="I23" s="2">
        <v>-36.841200000000001</v>
      </c>
      <c r="J23" s="2">
        <v>-2.3990999999999998</v>
      </c>
      <c r="K23" s="2">
        <v>0.60370000000000001</v>
      </c>
      <c r="L23" s="2">
        <v>-2.4685999999999999</v>
      </c>
      <c r="M23" s="2">
        <v>-65.230199999999996</v>
      </c>
    </row>
    <row r="24" spans="2:13" x14ac:dyDescent="0.3">
      <c r="B24" s="2">
        <v>-1</v>
      </c>
      <c r="C24" s="2" t="s">
        <v>50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-232.44460000000001</v>
      </c>
      <c r="I24" s="2">
        <v>4.8266999999999998</v>
      </c>
      <c r="J24" s="2">
        <v>-1.4663999999999999</v>
      </c>
      <c r="K24" s="2">
        <v>0.96099999999999997</v>
      </c>
      <c r="L24" s="2">
        <v>3.6863999999999999</v>
      </c>
      <c r="M24" s="2">
        <v>141.34020000000001</v>
      </c>
    </row>
    <row r="25" spans="2:13" x14ac:dyDescent="0.3">
      <c r="B25" s="2">
        <v>-1</v>
      </c>
      <c r="C25" s="2" t="s">
        <v>50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-239.8546</v>
      </c>
      <c r="I25" s="2">
        <v>4.8266999999999998</v>
      </c>
      <c r="J25" s="2">
        <v>-1.4663999999999999</v>
      </c>
      <c r="K25" s="2">
        <v>0.96099999999999997</v>
      </c>
      <c r="L25" s="2">
        <v>-1.2461</v>
      </c>
      <c r="M25" s="2">
        <v>91.588399999999993</v>
      </c>
    </row>
    <row r="26" spans="2:13" x14ac:dyDescent="0.3">
      <c r="B26" s="2">
        <v>-1</v>
      </c>
      <c r="C26" s="2" t="s">
        <v>50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-672.01340000000005</v>
      </c>
      <c r="I26" s="2">
        <v>-24.483499999999999</v>
      </c>
      <c r="J26" s="2">
        <v>-2.0712999999999999</v>
      </c>
      <c r="K26" s="2">
        <v>0.68769999999999998</v>
      </c>
      <c r="L26" s="2">
        <v>2.5596999999999999</v>
      </c>
      <c r="M26" s="2">
        <v>-130.39580000000001</v>
      </c>
    </row>
    <row r="27" spans="2:13" x14ac:dyDescent="0.3">
      <c r="B27" s="2">
        <v>-1</v>
      </c>
      <c r="C27" s="2" t="s">
        <v>50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-679.42340000000002</v>
      </c>
      <c r="I27" s="2">
        <v>-24.483499999999999</v>
      </c>
      <c r="J27" s="2">
        <v>-2.0712999999999999</v>
      </c>
      <c r="K27" s="2">
        <v>0.68769999999999998</v>
      </c>
      <c r="L27" s="2">
        <v>-1.7057</v>
      </c>
      <c r="M27" s="2">
        <v>-131.7517</v>
      </c>
    </row>
    <row r="28" spans="2:13" x14ac:dyDescent="0.3">
      <c r="B28" s="2">
        <v>-1</v>
      </c>
      <c r="C28" s="2" t="s">
        <v>50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-27.900600000000001</v>
      </c>
      <c r="I28" s="2">
        <v>23.999300000000002</v>
      </c>
      <c r="J28" s="2">
        <v>0.16020000000000001</v>
      </c>
      <c r="K28" s="2">
        <v>1.1783999999999999</v>
      </c>
      <c r="L28" s="2">
        <v>4.3559999999999999</v>
      </c>
      <c r="M28" s="2">
        <v>141.34020000000001</v>
      </c>
    </row>
    <row r="29" spans="2:13" x14ac:dyDescent="0.3">
      <c r="B29" s="2">
        <v>-1</v>
      </c>
      <c r="C29" s="2" t="s">
        <v>50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-33.458100000000002</v>
      </c>
      <c r="I29" s="2">
        <v>23.999300000000002</v>
      </c>
      <c r="J29" s="2">
        <v>0.16020000000000001</v>
      </c>
      <c r="K29" s="2">
        <v>1.1783999999999999</v>
      </c>
      <c r="L29" s="2">
        <v>0.61370000000000002</v>
      </c>
      <c r="M29" s="2">
        <v>102.5934</v>
      </c>
    </row>
    <row r="30" spans="2:13" x14ac:dyDescent="0.3">
      <c r="B30" s="2">
        <v>-1</v>
      </c>
      <c r="C30" s="2" t="s">
        <v>50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-705.73630000000003</v>
      </c>
      <c r="I30" s="2">
        <v>-36.841200000000001</v>
      </c>
      <c r="J30" s="2">
        <v>-2.4540999999999999</v>
      </c>
      <c r="K30" s="2">
        <v>-4.4999999999999998E-2</v>
      </c>
      <c r="L30" s="2">
        <v>-0.38979999999999998</v>
      </c>
      <c r="M30" s="2">
        <v>-137.1097</v>
      </c>
    </row>
    <row r="31" spans="2:13" x14ac:dyDescent="0.3">
      <c r="B31" s="2">
        <v>-1</v>
      </c>
      <c r="C31" s="2" t="s">
        <v>50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-713.1463</v>
      </c>
      <c r="I31" s="2">
        <v>-36.841200000000001</v>
      </c>
      <c r="J31" s="2">
        <v>-2.4540999999999999</v>
      </c>
      <c r="K31" s="2">
        <v>-4.4999999999999998E-2</v>
      </c>
      <c r="L31" s="2">
        <v>-2.4685999999999999</v>
      </c>
      <c r="M31" s="2">
        <v>-131.7517</v>
      </c>
    </row>
    <row r="32" spans="2:13" x14ac:dyDescent="0.3">
      <c r="B32" s="2">
        <v>-1</v>
      </c>
      <c r="C32" s="2" t="s">
        <v>50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-61.6235</v>
      </c>
      <c r="I32" s="2">
        <v>11.6417</v>
      </c>
      <c r="J32" s="2">
        <v>-0.1676</v>
      </c>
      <c r="K32" s="2">
        <v>0.31230000000000002</v>
      </c>
      <c r="L32" s="2">
        <v>1.4065000000000001</v>
      </c>
      <c r="M32" s="2">
        <v>134.62629999999999</v>
      </c>
    </row>
    <row r="33" spans="2:13" x14ac:dyDescent="0.3">
      <c r="B33" s="2">
        <v>-1</v>
      </c>
      <c r="C33" s="2" t="s">
        <v>50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-67.180999999999997</v>
      </c>
      <c r="I33" s="2">
        <v>11.6417</v>
      </c>
      <c r="J33" s="2">
        <v>-0.1676</v>
      </c>
      <c r="K33" s="2">
        <v>0.31230000000000002</v>
      </c>
      <c r="L33" s="2">
        <v>-0.1492</v>
      </c>
      <c r="M33" s="2">
        <v>102.5934</v>
      </c>
    </row>
    <row r="34" spans="2:13" x14ac:dyDescent="0.3">
      <c r="B34" s="2">
        <v>-1</v>
      </c>
      <c r="C34" s="2" t="s">
        <v>50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-501.19229999999999</v>
      </c>
      <c r="I34" s="2">
        <v>-17.668600000000001</v>
      </c>
      <c r="J34" s="2">
        <v>-0.77249999999999996</v>
      </c>
      <c r="K34" s="2">
        <v>3.9E-2</v>
      </c>
      <c r="L34" s="2">
        <v>0.27979999999999999</v>
      </c>
      <c r="M34" s="2">
        <v>-137.1097</v>
      </c>
    </row>
    <row r="35" spans="2:13" x14ac:dyDescent="0.3">
      <c r="B35" s="2">
        <v>-1</v>
      </c>
      <c r="C35" s="2" t="s">
        <v>50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-506.74979999999999</v>
      </c>
      <c r="I35" s="2">
        <v>-17.668600000000001</v>
      </c>
      <c r="J35" s="2">
        <v>-0.77249999999999996</v>
      </c>
      <c r="K35" s="2">
        <v>3.9E-2</v>
      </c>
      <c r="L35" s="2">
        <v>-0.60880000000000001</v>
      </c>
      <c r="M35" s="2">
        <v>-120.7467</v>
      </c>
    </row>
    <row r="36" spans="2:13" x14ac:dyDescent="0.3">
      <c r="B36" s="2">
        <v>-1</v>
      </c>
      <c r="C36" s="2" t="s">
        <v>50</v>
      </c>
      <c r="D36" s="2" t="s">
        <v>32</v>
      </c>
      <c r="E36" s="2" t="s">
        <v>24</v>
      </c>
      <c r="F36" s="2"/>
      <c r="G36" s="2" t="s">
        <v>16</v>
      </c>
      <c r="H36" s="2">
        <v>-389.69389999999999</v>
      </c>
      <c r="I36" s="2">
        <v>-9.1587999999999994</v>
      </c>
      <c r="J36" s="2">
        <v>-1.6644000000000001</v>
      </c>
      <c r="K36" s="2">
        <v>0.7853</v>
      </c>
      <c r="L36" s="2">
        <v>2.9357000000000002</v>
      </c>
      <c r="M36" s="2">
        <v>5.7481999999999998</v>
      </c>
    </row>
    <row r="37" spans="2:13" x14ac:dyDescent="0.3">
      <c r="B37" s="2">
        <v>-1</v>
      </c>
      <c r="C37" s="2" t="s">
        <v>50</v>
      </c>
      <c r="D37" s="2" t="s">
        <v>32</v>
      </c>
      <c r="E37" s="2" t="s">
        <v>24</v>
      </c>
      <c r="F37" s="2"/>
      <c r="G37" s="2" t="s">
        <v>17</v>
      </c>
      <c r="H37" s="2">
        <v>-395.8689</v>
      </c>
      <c r="I37" s="2">
        <v>-9.1587999999999994</v>
      </c>
      <c r="J37" s="2">
        <v>-1.6644000000000001</v>
      </c>
      <c r="K37" s="2">
        <v>0.7853</v>
      </c>
      <c r="L37" s="2">
        <v>-1.3916999999999999</v>
      </c>
      <c r="M37" s="2">
        <v>-18.064599999999999</v>
      </c>
    </row>
    <row r="38" spans="2:13" x14ac:dyDescent="0.3">
      <c r="B38" s="2">
        <v>-1</v>
      </c>
      <c r="C38" s="2" t="s">
        <v>51</v>
      </c>
      <c r="D38" s="2" t="s">
        <v>14</v>
      </c>
      <c r="E38" s="2" t="s">
        <v>15</v>
      </c>
      <c r="F38" s="2"/>
      <c r="G38" s="2" t="s">
        <v>16</v>
      </c>
      <c r="H38" s="2">
        <v>-100.2474</v>
      </c>
      <c r="I38" s="2">
        <v>0.6774</v>
      </c>
      <c r="J38" s="2">
        <v>-5.8400000000000001E-2</v>
      </c>
      <c r="K38" s="2">
        <v>-5.8999999999999999E-3</v>
      </c>
      <c r="L38" s="2">
        <v>8.3900000000000002E-2</v>
      </c>
      <c r="M38" s="2">
        <v>-1.3045</v>
      </c>
    </row>
    <row r="39" spans="2:13" x14ac:dyDescent="0.3">
      <c r="B39" s="2">
        <v>-1</v>
      </c>
      <c r="C39" s="2" t="s">
        <v>51</v>
      </c>
      <c r="D39" s="2" t="s">
        <v>14</v>
      </c>
      <c r="E39" s="2" t="s">
        <v>15</v>
      </c>
      <c r="F39" s="2"/>
      <c r="G39" s="2" t="s">
        <v>17</v>
      </c>
      <c r="H39" s="2">
        <v>-102.33150000000001</v>
      </c>
      <c r="I39" s="2">
        <v>0.6774</v>
      </c>
      <c r="J39" s="2">
        <v>-5.8400000000000001E-2</v>
      </c>
      <c r="K39" s="2">
        <v>-5.8999999999999999E-3</v>
      </c>
      <c r="L39" s="2">
        <v>-6.7799999999999999E-2</v>
      </c>
      <c r="M39" s="2">
        <v>0.45669999999999999</v>
      </c>
    </row>
    <row r="40" spans="2:13" x14ac:dyDescent="0.3">
      <c r="B40" s="2">
        <v>-1</v>
      </c>
      <c r="C40" s="2" t="s">
        <v>51</v>
      </c>
      <c r="D40" s="2" t="s">
        <v>18</v>
      </c>
      <c r="E40" s="2" t="s">
        <v>15</v>
      </c>
      <c r="F40" s="2"/>
      <c r="G40" s="2" t="s">
        <v>16</v>
      </c>
      <c r="H40" s="2">
        <v>-23.790400000000002</v>
      </c>
      <c r="I40" s="2">
        <v>1.0105999999999999</v>
      </c>
      <c r="J40" s="2">
        <v>-0.20150000000000001</v>
      </c>
      <c r="K40" s="2">
        <v>-2.9899999999999999E-2</v>
      </c>
      <c r="L40" s="2">
        <v>0.33169999999999999</v>
      </c>
      <c r="M40" s="2">
        <v>-1.7198</v>
      </c>
    </row>
    <row r="41" spans="2:13" x14ac:dyDescent="0.3">
      <c r="B41" s="2">
        <v>-1</v>
      </c>
      <c r="C41" s="2" t="s">
        <v>51</v>
      </c>
      <c r="D41" s="2" t="s">
        <v>18</v>
      </c>
      <c r="E41" s="2" t="s">
        <v>15</v>
      </c>
      <c r="F41" s="2"/>
      <c r="G41" s="2" t="s">
        <v>17</v>
      </c>
      <c r="H41" s="2">
        <v>-23.790400000000002</v>
      </c>
      <c r="I41" s="2">
        <v>1.0105999999999999</v>
      </c>
      <c r="J41" s="2">
        <v>-0.20150000000000001</v>
      </c>
      <c r="K41" s="2">
        <v>-2.9899999999999999E-2</v>
      </c>
      <c r="L41" s="2">
        <v>-0.19220000000000001</v>
      </c>
      <c r="M41" s="2">
        <v>0.90790000000000004</v>
      </c>
    </row>
    <row r="42" spans="2:13" x14ac:dyDescent="0.3">
      <c r="B42" s="2">
        <v>-1</v>
      </c>
      <c r="C42" s="2" t="s">
        <v>51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75.802899999999994</v>
      </c>
      <c r="I42" s="2">
        <v>9.6560000000000006</v>
      </c>
      <c r="J42" s="2">
        <v>8.5699999999999998E-2</v>
      </c>
      <c r="K42" s="2">
        <v>1.2800000000000001E-2</v>
      </c>
      <c r="L42" s="2">
        <v>0.15620000000000001</v>
      </c>
      <c r="M42" s="2">
        <v>16.524100000000001</v>
      </c>
    </row>
    <row r="43" spans="2:13" x14ac:dyDescent="0.3">
      <c r="B43" s="2">
        <v>-1</v>
      </c>
      <c r="C43" s="2" t="s">
        <v>51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75.802899999999994</v>
      </c>
      <c r="I43" s="2">
        <v>9.6560000000000006</v>
      </c>
      <c r="J43" s="2">
        <v>8.5699999999999998E-2</v>
      </c>
      <c r="K43" s="2">
        <v>1.2800000000000001E-2</v>
      </c>
      <c r="L43" s="2">
        <v>8.2600000000000007E-2</v>
      </c>
      <c r="M43" s="2">
        <v>10.513199999999999</v>
      </c>
    </row>
    <row r="44" spans="2:13" x14ac:dyDescent="0.3">
      <c r="B44" s="2">
        <v>-1</v>
      </c>
      <c r="C44" s="2" t="s">
        <v>51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99.207400000000007</v>
      </c>
      <c r="I44" s="2">
        <v>5.4242999999999997</v>
      </c>
      <c r="J44" s="2">
        <v>5.0999999999999997E-2</v>
      </c>
      <c r="K44" s="2">
        <v>4.4999999999999997E-3</v>
      </c>
      <c r="L44" s="2">
        <v>0.18440000000000001</v>
      </c>
      <c r="M44" s="2">
        <v>8.6387999999999998</v>
      </c>
    </row>
    <row r="45" spans="2:13" x14ac:dyDescent="0.3">
      <c r="B45" s="2">
        <v>-1</v>
      </c>
      <c r="C45" s="2" t="s">
        <v>51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99.207400000000007</v>
      </c>
      <c r="I45" s="2">
        <v>5.4242999999999997</v>
      </c>
      <c r="J45" s="2">
        <v>5.0999999999999997E-2</v>
      </c>
      <c r="K45" s="2">
        <v>4.4999999999999997E-3</v>
      </c>
      <c r="L45" s="2">
        <v>0.1123</v>
      </c>
      <c r="M45" s="2">
        <v>5.4657999999999998</v>
      </c>
    </row>
    <row r="46" spans="2:13" x14ac:dyDescent="0.3">
      <c r="B46" s="2">
        <v>-1</v>
      </c>
      <c r="C46" s="2" t="s">
        <v>51</v>
      </c>
      <c r="D46" s="2" t="s">
        <v>23</v>
      </c>
      <c r="E46" s="2" t="s">
        <v>24</v>
      </c>
      <c r="F46" s="2"/>
      <c r="G46" s="2" t="s">
        <v>16</v>
      </c>
      <c r="H46" s="2">
        <v>-140.34639999999999</v>
      </c>
      <c r="I46" s="2">
        <v>0.94830000000000003</v>
      </c>
      <c r="J46" s="2">
        <v>-8.1699999999999995E-2</v>
      </c>
      <c r="K46" s="2">
        <v>-8.2000000000000007E-3</v>
      </c>
      <c r="L46" s="2">
        <v>0.11749999999999999</v>
      </c>
      <c r="M46" s="2">
        <v>-1.8263</v>
      </c>
    </row>
    <row r="47" spans="2:13" x14ac:dyDescent="0.3">
      <c r="B47" s="2">
        <v>-1</v>
      </c>
      <c r="C47" s="2" t="s">
        <v>51</v>
      </c>
      <c r="D47" s="2" t="s">
        <v>23</v>
      </c>
      <c r="E47" s="2" t="s">
        <v>24</v>
      </c>
      <c r="F47" s="2"/>
      <c r="G47" s="2" t="s">
        <v>17</v>
      </c>
      <c r="H47" s="2">
        <v>-143.26400000000001</v>
      </c>
      <c r="I47" s="2">
        <v>0.94830000000000003</v>
      </c>
      <c r="J47" s="2">
        <v>-8.1699999999999995E-2</v>
      </c>
      <c r="K47" s="2">
        <v>-8.2000000000000007E-3</v>
      </c>
      <c r="L47" s="2">
        <v>-9.5000000000000001E-2</v>
      </c>
      <c r="M47" s="2">
        <v>0.63939999999999997</v>
      </c>
    </row>
    <row r="48" spans="2:13" x14ac:dyDescent="0.3">
      <c r="B48" s="2">
        <v>-1</v>
      </c>
      <c r="C48" s="2" t="s">
        <v>51</v>
      </c>
      <c r="D48" s="2" t="s">
        <v>25</v>
      </c>
      <c r="E48" s="2" t="s">
        <v>24</v>
      </c>
      <c r="F48" s="2"/>
      <c r="G48" s="2" t="s">
        <v>16</v>
      </c>
      <c r="H48" s="2">
        <v>-158.36150000000001</v>
      </c>
      <c r="I48" s="2">
        <v>2.4298999999999999</v>
      </c>
      <c r="J48" s="2">
        <v>-0.39240000000000003</v>
      </c>
      <c r="K48" s="2">
        <v>-5.4899999999999997E-2</v>
      </c>
      <c r="L48" s="2">
        <v>0.63139999999999996</v>
      </c>
      <c r="M48" s="2">
        <v>-4.3170000000000002</v>
      </c>
    </row>
    <row r="49" spans="2:13" x14ac:dyDescent="0.3">
      <c r="B49" s="2">
        <v>-1</v>
      </c>
      <c r="C49" s="2" t="s">
        <v>51</v>
      </c>
      <c r="D49" s="2" t="s">
        <v>25</v>
      </c>
      <c r="E49" s="2" t="s">
        <v>24</v>
      </c>
      <c r="F49" s="2"/>
      <c r="G49" s="2" t="s">
        <v>17</v>
      </c>
      <c r="H49" s="2">
        <v>-160.86240000000001</v>
      </c>
      <c r="I49" s="2">
        <v>2.4298999999999999</v>
      </c>
      <c r="J49" s="2">
        <v>-0.39240000000000003</v>
      </c>
      <c r="K49" s="2">
        <v>-5.4899999999999997E-2</v>
      </c>
      <c r="L49" s="2">
        <v>-0.38900000000000001</v>
      </c>
      <c r="M49" s="2">
        <v>2.0007000000000001</v>
      </c>
    </row>
    <row r="50" spans="2:13" x14ac:dyDescent="0.3">
      <c r="B50" s="2">
        <v>-1</v>
      </c>
      <c r="C50" s="2" t="s">
        <v>51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15.901400000000001</v>
      </c>
      <c r="I50" s="2">
        <v>14.1281</v>
      </c>
      <c r="J50" s="2">
        <v>6.7400000000000002E-2</v>
      </c>
      <c r="K50" s="2">
        <v>1.26E-2</v>
      </c>
      <c r="L50" s="2">
        <v>0.29420000000000002</v>
      </c>
      <c r="M50" s="2">
        <v>21.959700000000002</v>
      </c>
    </row>
    <row r="51" spans="2:13" x14ac:dyDescent="0.3">
      <c r="B51" s="2">
        <v>-1</v>
      </c>
      <c r="C51" s="2" t="s">
        <v>51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14.0258</v>
      </c>
      <c r="I51" s="2">
        <v>14.1281</v>
      </c>
      <c r="J51" s="2">
        <v>6.7400000000000002E-2</v>
      </c>
      <c r="K51" s="2">
        <v>1.26E-2</v>
      </c>
      <c r="L51" s="2">
        <v>5.4600000000000003E-2</v>
      </c>
      <c r="M51" s="2">
        <v>15.1295</v>
      </c>
    </row>
    <row r="52" spans="2:13" x14ac:dyDescent="0.3">
      <c r="B52" s="2">
        <v>-1</v>
      </c>
      <c r="C52" s="2" t="s">
        <v>51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-196.3468</v>
      </c>
      <c r="I52" s="2">
        <v>-12.908799999999999</v>
      </c>
      <c r="J52" s="2">
        <v>-0.1724</v>
      </c>
      <c r="K52" s="2">
        <v>-2.3199999999999998E-2</v>
      </c>
      <c r="L52" s="2">
        <v>-0.14319999999999999</v>
      </c>
      <c r="M52" s="2">
        <v>-24.3078</v>
      </c>
    </row>
    <row r="53" spans="2:13" x14ac:dyDescent="0.3">
      <c r="B53" s="2">
        <v>-1</v>
      </c>
      <c r="C53" s="2" t="s">
        <v>51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-198.22239999999999</v>
      </c>
      <c r="I53" s="2">
        <v>-12.908799999999999</v>
      </c>
      <c r="J53" s="2">
        <v>-0.1724</v>
      </c>
      <c r="K53" s="2">
        <v>-2.3199999999999998E-2</v>
      </c>
      <c r="L53" s="2">
        <v>-0.1767</v>
      </c>
      <c r="M53" s="2">
        <v>-14.307399999999999</v>
      </c>
    </row>
    <row r="54" spans="2:13" x14ac:dyDescent="0.3">
      <c r="B54" s="2">
        <v>-1</v>
      </c>
      <c r="C54" s="2" t="s">
        <v>51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-37.963099999999997</v>
      </c>
      <c r="I54" s="2">
        <v>15.341900000000001</v>
      </c>
      <c r="J54" s="2">
        <v>-0.15160000000000001</v>
      </c>
      <c r="K54" s="2">
        <v>-1.9099999999999999E-2</v>
      </c>
      <c r="L54" s="2">
        <v>0.65110000000000001</v>
      </c>
      <c r="M54" s="2">
        <v>19.848600000000001</v>
      </c>
    </row>
    <row r="55" spans="2:13" x14ac:dyDescent="0.3">
      <c r="B55" s="2">
        <v>-1</v>
      </c>
      <c r="C55" s="2" t="s">
        <v>51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-40.463999999999999</v>
      </c>
      <c r="I55" s="2">
        <v>15.341900000000001</v>
      </c>
      <c r="J55" s="2">
        <v>-0.15160000000000001</v>
      </c>
      <c r="K55" s="2">
        <v>-1.9099999999999999E-2</v>
      </c>
      <c r="L55" s="2">
        <v>-0.158</v>
      </c>
      <c r="M55" s="2">
        <v>16.174399999999999</v>
      </c>
    </row>
    <row r="56" spans="2:13" x14ac:dyDescent="0.3">
      <c r="B56" s="2">
        <v>-1</v>
      </c>
      <c r="C56" s="2" t="s">
        <v>51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-250.2114</v>
      </c>
      <c r="I56" s="2">
        <v>-11.694900000000001</v>
      </c>
      <c r="J56" s="2">
        <v>-0.39150000000000001</v>
      </c>
      <c r="K56" s="2">
        <v>-5.4800000000000001E-2</v>
      </c>
      <c r="L56" s="2">
        <v>0.2137</v>
      </c>
      <c r="M56" s="2">
        <v>-26.418900000000001</v>
      </c>
    </row>
    <row r="57" spans="2:13" x14ac:dyDescent="0.3">
      <c r="B57" s="2">
        <v>-1</v>
      </c>
      <c r="C57" s="2" t="s">
        <v>51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-252.7122</v>
      </c>
      <c r="I57" s="2">
        <v>-11.694900000000001</v>
      </c>
      <c r="J57" s="2">
        <v>-0.39150000000000001</v>
      </c>
      <c r="K57" s="2">
        <v>-5.4800000000000001E-2</v>
      </c>
      <c r="L57" s="2">
        <v>-0.38929999999999998</v>
      </c>
      <c r="M57" s="2">
        <v>-13.262499999999999</v>
      </c>
    </row>
    <row r="58" spans="2:13" x14ac:dyDescent="0.3">
      <c r="B58" s="2">
        <v>-1</v>
      </c>
      <c r="C58" s="2" t="s">
        <v>51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-5.1967999999999996</v>
      </c>
      <c r="I58" s="2">
        <v>9.4175000000000004</v>
      </c>
      <c r="J58" s="2">
        <v>-0.20019999999999999</v>
      </c>
      <c r="K58" s="2">
        <v>-3.0700000000000002E-2</v>
      </c>
      <c r="L58" s="2">
        <v>0.6905</v>
      </c>
      <c r="M58" s="2">
        <v>8.8091000000000008</v>
      </c>
    </row>
    <row r="59" spans="2:13" x14ac:dyDescent="0.3">
      <c r="B59" s="2">
        <v>-1</v>
      </c>
      <c r="C59" s="2" t="s">
        <v>51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-7.6977000000000002</v>
      </c>
      <c r="I59" s="2">
        <v>9.4175000000000004</v>
      </c>
      <c r="J59" s="2">
        <v>-0.20019999999999999</v>
      </c>
      <c r="K59" s="2">
        <v>-3.0700000000000002E-2</v>
      </c>
      <c r="L59" s="2">
        <v>-0.1164</v>
      </c>
      <c r="M59" s="2">
        <v>9.1080000000000005</v>
      </c>
    </row>
    <row r="60" spans="2:13" x14ac:dyDescent="0.3">
      <c r="B60" s="2">
        <v>-1</v>
      </c>
      <c r="C60" s="2" t="s">
        <v>51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-282.97770000000003</v>
      </c>
      <c r="I60" s="2">
        <v>-5.7705000000000002</v>
      </c>
      <c r="J60" s="2">
        <v>-0.34289999999999998</v>
      </c>
      <c r="K60" s="2">
        <v>-4.3200000000000002E-2</v>
      </c>
      <c r="L60" s="2">
        <v>0.17430000000000001</v>
      </c>
      <c r="M60" s="2">
        <v>-15.3795</v>
      </c>
    </row>
    <row r="61" spans="2:13" x14ac:dyDescent="0.3">
      <c r="B61" s="2">
        <v>-1</v>
      </c>
      <c r="C61" s="2" t="s">
        <v>51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-285.4785</v>
      </c>
      <c r="I61" s="2">
        <v>-5.7705000000000002</v>
      </c>
      <c r="J61" s="2">
        <v>-0.34289999999999998</v>
      </c>
      <c r="K61" s="2">
        <v>-4.3200000000000002E-2</v>
      </c>
      <c r="L61" s="2">
        <v>-0.43090000000000001</v>
      </c>
      <c r="M61" s="2">
        <v>-6.1962000000000002</v>
      </c>
    </row>
    <row r="62" spans="2:13" x14ac:dyDescent="0.3">
      <c r="B62" s="2">
        <v>-1</v>
      </c>
      <c r="C62" s="2" t="s">
        <v>51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48.6678</v>
      </c>
      <c r="I62" s="2">
        <v>15.341900000000001</v>
      </c>
      <c r="J62" s="2">
        <v>6.7400000000000002E-2</v>
      </c>
      <c r="K62" s="2">
        <v>1.26E-2</v>
      </c>
      <c r="L62" s="2">
        <v>0.6905</v>
      </c>
      <c r="M62" s="2">
        <v>21.959700000000002</v>
      </c>
    </row>
    <row r="63" spans="2:13" x14ac:dyDescent="0.3">
      <c r="B63" s="2">
        <v>-1</v>
      </c>
      <c r="C63" s="2" t="s">
        <v>51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46.792099999999998</v>
      </c>
      <c r="I63" s="2">
        <v>15.341900000000001</v>
      </c>
      <c r="J63" s="2">
        <v>6.7400000000000002E-2</v>
      </c>
      <c r="K63" s="2">
        <v>1.26E-2</v>
      </c>
      <c r="L63" s="2">
        <v>9.6199999999999994E-2</v>
      </c>
      <c r="M63" s="2">
        <v>16.174399999999999</v>
      </c>
    </row>
    <row r="64" spans="2:13" x14ac:dyDescent="0.3">
      <c r="B64" s="2">
        <v>-1</v>
      </c>
      <c r="C64" s="2" t="s">
        <v>51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-282.97770000000003</v>
      </c>
      <c r="I64" s="2">
        <v>-12.908799999999999</v>
      </c>
      <c r="J64" s="2">
        <v>-0.39240000000000003</v>
      </c>
      <c r="K64" s="2">
        <v>-5.4899999999999997E-2</v>
      </c>
      <c r="L64" s="2">
        <v>-0.18260000000000001</v>
      </c>
      <c r="M64" s="2">
        <v>-26.418900000000001</v>
      </c>
    </row>
    <row r="65" spans="2:13" x14ac:dyDescent="0.3">
      <c r="B65" s="2">
        <v>-1</v>
      </c>
      <c r="C65" s="2" t="s">
        <v>51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-285.4785</v>
      </c>
      <c r="I65" s="2">
        <v>-12.908799999999999</v>
      </c>
      <c r="J65" s="2">
        <v>-0.39240000000000003</v>
      </c>
      <c r="K65" s="2">
        <v>-5.4899999999999997E-2</v>
      </c>
      <c r="L65" s="2">
        <v>-0.43090000000000001</v>
      </c>
      <c r="M65" s="2">
        <v>-14.307399999999999</v>
      </c>
    </row>
    <row r="66" spans="2:13" x14ac:dyDescent="0.3">
      <c r="B66" s="2">
        <v>-1</v>
      </c>
      <c r="C66" s="2" t="s">
        <v>51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48.6678</v>
      </c>
      <c r="I66" s="2">
        <v>8.2035999999999998</v>
      </c>
      <c r="J66" s="2">
        <v>1.8800000000000001E-2</v>
      </c>
      <c r="K66" s="2">
        <v>8.9999999999999998E-4</v>
      </c>
      <c r="L66" s="2">
        <v>0.33360000000000001</v>
      </c>
      <c r="M66" s="2">
        <v>10.920199999999999</v>
      </c>
    </row>
    <row r="67" spans="2:13" x14ac:dyDescent="0.3">
      <c r="B67" s="2">
        <v>-1</v>
      </c>
      <c r="C67" s="2" t="s">
        <v>51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46.792099999999998</v>
      </c>
      <c r="I67" s="2">
        <v>8.2035999999999998</v>
      </c>
      <c r="J67" s="2">
        <v>1.8800000000000001E-2</v>
      </c>
      <c r="K67" s="2">
        <v>8.9999999999999998E-4</v>
      </c>
      <c r="L67" s="2">
        <v>9.6199999999999994E-2</v>
      </c>
      <c r="M67" s="2">
        <v>8.0631000000000004</v>
      </c>
    </row>
    <row r="68" spans="2:13" x14ac:dyDescent="0.3">
      <c r="B68" s="2">
        <v>-1</v>
      </c>
      <c r="C68" s="2" t="s">
        <v>51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-229.1131</v>
      </c>
      <c r="I68" s="2">
        <v>-6.9843000000000002</v>
      </c>
      <c r="J68" s="2">
        <v>-0.1239</v>
      </c>
      <c r="K68" s="2">
        <v>-1.15E-2</v>
      </c>
      <c r="L68" s="2">
        <v>-0.18260000000000001</v>
      </c>
      <c r="M68" s="2">
        <v>-13.2683</v>
      </c>
    </row>
    <row r="69" spans="2:13" x14ac:dyDescent="0.3">
      <c r="B69" s="2">
        <v>-1</v>
      </c>
      <c r="C69" s="2" t="s">
        <v>51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-230.98869999999999</v>
      </c>
      <c r="I69" s="2">
        <v>-6.9843000000000002</v>
      </c>
      <c r="J69" s="2">
        <v>-0.1239</v>
      </c>
      <c r="K69" s="2">
        <v>-1.15E-2</v>
      </c>
      <c r="L69" s="2">
        <v>-0.21829999999999999</v>
      </c>
      <c r="M69" s="2">
        <v>-7.2411000000000003</v>
      </c>
    </row>
    <row r="70" spans="2:13" x14ac:dyDescent="0.3">
      <c r="B70" s="2">
        <v>-1</v>
      </c>
      <c r="C70" s="2" t="s">
        <v>51</v>
      </c>
      <c r="D70" s="2" t="s">
        <v>32</v>
      </c>
      <c r="E70" s="2" t="s">
        <v>24</v>
      </c>
      <c r="F70" s="2"/>
      <c r="G70" s="2" t="s">
        <v>16</v>
      </c>
      <c r="H70" s="2">
        <v>-124.0378</v>
      </c>
      <c r="I70" s="2">
        <v>1.6879999999999999</v>
      </c>
      <c r="J70" s="2">
        <v>-0.25990000000000002</v>
      </c>
      <c r="K70" s="2">
        <v>-3.5799999999999998E-2</v>
      </c>
      <c r="L70" s="2">
        <v>0.41560000000000002</v>
      </c>
      <c r="M70" s="2">
        <v>-3.0243000000000002</v>
      </c>
    </row>
    <row r="71" spans="2:13" x14ac:dyDescent="0.3">
      <c r="B71" s="2">
        <v>-1</v>
      </c>
      <c r="C71" s="2" t="s">
        <v>51</v>
      </c>
      <c r="D71" s="2" t="s">
        <v>32</v>
      </c>
      <c r="E71" s="2" t="s">
        <v>24</v>
      </c>
      <c r="F71" s="2"/>
      <c r="G71" s="2" t="s">
        <v>17</v>
      </c>
      <c r="H71" s="2">
        <v>-126.12179999999999</v>
      </c>
      <c r="I71" s="2">
        <v>1.6879999999999999</v>
      </c>
      <c r="J71" s="2">
        <v>-0.25990000000000002</v>
      </c>
      <c r="K71" s="2">
        <v>-3.5799999999999998E-2</v>
      </c>
      <c r="L71" s="2">
        <v>-0.2601</v>
      </c>
      <c r="M71" s="2">
        <v>1.3646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DAF5-23BE-4BCE-9E5A-6697DBA89D18}">
  <dimension ref="B2:V71"/>
  <sheetViews>
    <sheetView workbookViewId="0">
      <selection activeCell="A5" sqref="A5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38</v>
      </c>
      <c r="D4" s="2" t="s">
        <v>14</v>
      </c>
      <c r="E4" s="2" t="s">
        <v>15</v>
      </c>
      <c r="F4" s="2"/>
      <c r="G4" s="2" t="s">
        <v>16</v>
      </c>
      <c r="H4" s="2">
        <v>-257.36329999999998</v>
      </c>
      <c r="I4" s="2">
        <v>6.4747000000000003</v>
      </c>
      <c r="J4" s="2">
        <v>2.6989000000000001</v>
      </c>
      <c r="K4" s="2">
        <v>1.5039</v>
      </c>
      <c r="L4" s="2">
        <v>-4.6379999999999999</v>
      </c>
      <c r="M4" s="2">
        <v>-39.973399999999998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38</v>
      </c>
      <c r="D5" s="2" t="s">
        <v>14</v>
      </c>
      <c r="E5" s="2" t="s">
        <v>15</v>
      </c>
      <c r="F5" s="2"/>
      <c r="G5" s="2" t="s">
        <v>17</v>
      </c>
      <c r="H5" s="2">
        <v>-265.34199999999998</v>
      </c>
      <c r="I5" s="2">
        <v>6.4747000000000003</v>
      </c>
      <c r="J5" s="2">
        <v>2.6989000000000001</v>
      </c>
      <c r="K5" s="2">
        <v>1.5039</v>
      </c>
      <c r="L5" s="2">
        <v>2.3792</v>
      </c>
      <c r="M5" s="2">
        <v>-23.138999999999999</v>
      </c>
      <c r="O5" s="9" t="s">
        <v>38</v>
      </c>
      <c r="P5" s="9" t="s">
        <v>14</v>
      </c>
      <c r="Q5" s="11">
        <f t="shared" ref="Q5:Q12" si="0">_xlfn.MAXIFS($I$4:$I$70,$C$4:$C$70,$O5,$D$4:$D$70,$P5)</f>
        <v>6.4747000000000003</v>
      </c>
      <c r="R5" s="11">
        <f t="shared" ref="R5:R12" si="1">_xlfn.MINIFS($I$4:$I$70,$C$4:$C$70,$O5,$D$4:$D$70,$P5)</f>
        <v>6.4747000000000003</v>
      </c>
      <c r="S5" s="11">
        <f t="shared" ref="S5:S12" si="2">_xlfn.MAXIFS($M$4:$M$70,$C$4:$C$70,$O5,$D$4:$D$70,$P5)</f>
        <v>-23.138999999999999</v>
      </c>
      <c r="T5" s="11">
        <f t="shared" ref="T5:T12" si="3">_xlfn.MINIFS($M$4:$M$70,$C$4:$C$70,$O5,$D$4:$D$70,$P5)</f>
        <v>-39.973399999999998</v>
      </c>
      <c r="U5" s="11">
        <f t="shared" ref="U5:U12" si="4">_xlfn.MAXIFS($H$4:$H$70,$C$4:$C$70,$O5,$D$4:$D$70,$P5)</f>
        <v>-257.36329999999998</v>
      </c>
      <c r="V5" s="11">
        <f t="shared" ref="V5:V12" si="5">_xlfn.MINIFS($H$4:$H$70,$C$4:$C$70,$O5,$D$4:$D$70,$P5)</f>
        <v>-265.34199999999998</v>
      </c>
    </row>
    <row r="6" spans="2:22" x14ac:dyDescent="0.3">
      <c r="B6" s="2">
        <v>-1</v>
      </c>
      <c r="C6" s="2" t="s">
        <v>38</v>
      </c>
      <c r="D6" s="2" t="s">
        <v>18</v>
      </c>
      <c r="E6" s="2" t="s">
        <v>15</v>
      </c>
      <c r="F6" s="2"/>
      <c r="G6" s="2" t="s">
        <v>16</v>
      </c>
      <c r="H6" s="2">
        <v>-71.513499999999993</v>
      </c>
      <c r="I6" s="2">
        <v>-2.9462000000000002</v>
      </c>
      <c r="J6" s="2">
        <v>2.7852999999999999</v>
      </c>
      <c r="K6" s="2">
        <v>1.6733</v>
      </c>
      <c r="L6" s="2">
        <v>-4.8037999999999998</v>
      </c>
      <c r="M6" s="2">
        <v>2.2465999999999999</v>
      </c>
      <c r="O6" s="9" t="s">
        <v>38</v>
      </c>
      <c r="P6" s="9" t="s">
        <v>18</v>
      </c>
      <c r="Q6" s="11">
        <f t="shared" si="0"/>
        <v>-2.9462000000000002</v>
      </c>
      <c r="R6" s="11">
        <f t="shared" si="1"/>
        <v>-2.9462000000000002</v>
      </c>
      <c r="S6" s="11">
        <f t="shared" si="2"/>
        <v>2.2465999999999999</v>
      </c>
      <c r="T6" s="11">
        <f t="shared" si="3"/>
        <v>-5.4135</v>
      </c>
      <c r="U6" s="11">
        <f t="shared" si="4"/>
        <v>-71.513499999999993</v>
      </c>
      <c r="V6" s="11">
        <f t="shared" si="5"/>
        <v>-71.513499999999993</v>
      </c>
    </row>
    <row r="7" spans="2:22" x14ac:dyDescent="0.3">
      <c r="B7" s="2">
        <v>-1</v>
      </c>
      <c r="C7" s="2" t="s">
        <v>38</v>
      </c>
      <c r="D7" s="2" t="s">
        <v>18</v>
      </c>
      <c r="E7" s="2" t="s">
        <v>15</v>
      </c>
      <c r="F7" s="2"/>
      <c r="G7" s="2" t="s">
        <v>17</v>
      </c>
      <c r="H7" s="2">
        <v>-71.513499999999993</v>
      </c>
      <c r="I7" s="2">
        <v>-2.9462000000000002</v>
      </c>
      <c r="J7" s="2">
        <v>2.7852999999999999</v>
      </c>
      <c r="K7" s="2">
        <v>1.6733</v>
      </c>
      <c r="L7" s="2">
        <v>2.4378000000000002</v>
      </c>
      <c r="M7" s="2">
        <v>-5.4135</v>
      </c>
      <c r="O7" s="9" t="s">
        <v>38</v>
      </c>
      <c r="P7" s="9" t="s">
        <v>19</v>
      </c>
      <c r="Q7" s="11">
        <f t="shared" si="0"/>
        <v>25.696000000000002</v>
      </c>
      <c r="R7" s="11">
        <f t="shared" si="1"/>
        <v>25.696000000000002</v>
      </c>
      <c r="S7" s="11">
        <f t="shared" si="2"/>
        <v>121.63890000000001</v>
      </c>
      <c r="T7" s="11">
        <f t="shared" si="3"/>
        <v>56.178100000000001</v>
      </c>
      <c r="U7" s="11">
        <f t="shared" si="4"/>
        <v>238.636</v>
      </c>
      <c r="V7" s="11">
        <f t="shared" si="5"/>
        <v>238.636</v>
      </c>
    </row>
    <row r="8" spans="2:22" x14ac:dyDescent="0.3">
      <c r="B8" s="2">
        <v>-1</v>
      </c>
      <c r="C8" s="2" t="s">
        <v>38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238.636</v>
      </c>
      <c r="I8" s="2">
        <v>25.696000000000002</v>
      </c>
      <c r="J8" s="2">
        <v>0.56699999999999995</v>
      </c>
      <c r="K8" s="2">
        <v>0.1094</v>
      </c>
      <c r="L8" s="2">
        <v>1.0076000000000001</v>
      </c>
      <c r="M8" s="2">
        <v>121.63890000000001</v>
      </c>
      <c r="O8" s="9" t="s">
        <v>38</v>
      </c>
      <c r="P8" s="9" t="s">
        <v>22</v>
      </c>
      <c r="Q8" s="11">
        <f t="shared" si="0"/>
        <v>23.8413</v>
      </c>
      <c r="R8" s="11">
        <f t="shared" si="1"/>
        <v>23.8413</v>
      </c>
      <c r="S8" s="11">
        <f t="shared" si="2"/>
        <v>257.3116</v>
      </c>
      <c r="T8" s="11">
        <f t="shared" si="3"/>
        <v>198.59559999999999</v>
      </c>
      <c r="U8" s="11">
        <f t="shared" si="4"/>
        <v>189.4435</v>
      </c>
      <c r="V8" s="11">
        <f t="shared" si="5"/>
        <v>189.4435</v>
      </c>
    </row>
    <row r="9" spans="2:22" x14ac:dyDescent="0.3">
      <c r="B9" s="2">
        <v>-1</v>
      </c>
      <c r="C9" s="2" t="s">
        <v>38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238.636</v>
      </c>
      <c r="I9" s="2">
        <v>25.696000000000002</v>
      </c>
      <c r="J9" s="2">
        <v>0.56699999999999995</v>
      </c>
      <c r="K9" s="2">
        <v>0.1094</v>
      </c>
      <c r="L9" s="2">
        <v>0.94540000000000002</v>
      </c>
      <c r="M9" s="2">
        <v>56.178100000000001</v>
      </c>
      <c r="O9" s="9" t="s">
        <v>39</v>
      </c>
      <c r="P9" s="9" t="s">
        <v>14</v>
      </c>
      <c r="Q9" s="11">
        <f t="shared" si="0"/>
        <v>-27.214300000000001</v>
      </c>
      <c r="R9" s="11">
        <f t="shared" si="1"/>
        <v>-27.214300000000001</v>
      </c>
      <c r="S9" s="11">
        <f t="shared" si="2"/>
        <v>121.2713</v>
      </c>
      <c r="T9" s="11">
        <f t="shared" si="3"/>
        <v>50.514200000000002</v>
      </c>
      <c r="U9" s="11">
        <f t="shared" si="4"/>
        <v>-145.9956</v>
      </c>
      <c r="V9" s="11">
        <f t="shared" si="5"/>
        <v>-154.28309999999999</v>
      </c>
    </row>
    <row r="10" spans="2:22" x14ac:dyDescent="0.3">
      <c r="B10" s="2">
        <v>-1</v>
      </c>
      <c r="C10" s="2" t="s">
        <v>38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189.4435</v>
      </c>
      <c r="I10" s="2">
        <v>23.8413</v>
      </c>
      <c r="J10" s="2">
        <v>0.26219999999999999</v>
      </c>
      <c r="K10" s="2">
        <v>0.1051</v>
      </c>
      <c r="L10" s="2">
        <v>0.50209999999999999</v>
      </c>
      <c r="M10" s="2">
        <v>257.3116</v>
      </c>
      <c r="O10" s="9" t="s">
        <v>39</v>
      </c>
      <c r="P10" s="9" t="s">
        <v>18</v>
      </c>
      <c r="Q10" s="11">
        <f t="shared" si="0"/>
        <v>-8.6232000000000006</v>
      </c>
      <c r="R10" s="11">
        <f t="shared" si="1"/>
        <v>-8.6232000000000006</v>
      </c>
      <c r="S10" s="11">
        <f t="shared" si="2"/>
        <v>31.471699999999998</v>
      </c>
      <c r="T10" s="11">
        <f t="shared" si="3"/>
        <v>9.0513999999999992</v>
      </c>
      <c r="U10" s="11">
        <f t="shared" si="4"/>
        <v>-38.252800000000001</v>
      </c>
      <c r="V10" s="11">
        <f t="shared" si="5"/>
        <v>-38.252800000000001</v>
      </c>
    </row>
    <row r="11" spans="2:22" x14ac:dyDescent="0.3">
      <c r="B11" s="2">
        <v>-1</v>
      </c>
      <c r="C11" s="2" t="s">
        <v>38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189.4435</v>
      </c>
      <c r="I11" s="2">
        <v>23.8413</v>
      </c>
      <c r="J11" s="2">
        <v>0.26219999999999999</v>
      </c>
      <c r="K11" s="2">
        <v>0.1051</v>
      </c>
      <c r="L11" s="2">
        <v>0.1817</v>
      </c>
      <c r="M11" s="2">
        <v>198.59559999999999</v>
      </c>
      <c r="O11" s="9" t="s">
        <v>39</v>
      </c>
      <c r="P11" s="9" t="s">
        <v>19</v>
      </c>
      <c r="Q11" s="11">
        <f t="shared" si="0"/>
        <v>28.7636</v>
      </c>
      <c r="R11" s="11">
        <f t="shared" si="1"/>
        <v>28.7636</v>
      </c>
      <c r="S11" s="11">
        <f t="shared" si="2"/>
        <v>243.2748</v>
      </c>
      <c r="T11" s="11">
        <f t="shared" si="3"/>
        <v>239.37010000000001</v>
      </c>
      <c r="U11" s="11">
        <f t="shared" si="4"/>
        <v>60.721699999999998</v>
      </c>
      <c r="V11" s="11">
        <f t="shared" si="5"/>
        <v>60.721699999999998</v>
      </c>
    </row>
    <row r="12" spans="2:22" x14ac:dyDescent="0.3">
      <c r="B12" s="2">
        <v>-1</v>
      </c>
      <c r="C12" s="2" t="s">
        <v>38</v>
      </c>
      <c r="D12" s="2" t="s">
        <v>23</v>
      </c>
      <c r="E12" s="2" t="s">
        <v>24</v>
      </c>
      <c r="F12" s="2"/>
      <c r="G12" s="2" t="s">
        <v>16</v>
      </c>
      <c r="H12" s="2">
        <v>-360.30860000000001</v>
      </c>
      <c r="I12" s="2">
        <v>9.0646000000000004</v>
      </c>
      <c r="J12" s="2">
        <v>3.7785000000000002</v>
      </c>
      <c r="K12" s="2">
        <v>2.1055000000000001</v>
      </c>
      <c r="L12" s="2">
        <v>-6.4931999999999999</v>
      </c>
      <c r="M12" s="2">
        <v>-55.962699999999998</v>
      </c>
      <c r="O12" s="9" t="s">
        <v>39</v>
      </c>
      <c r="P12" s="9" t="s">
        <v>22</v>
      </c>
      <c r="Q12" s="11">
        <f t="shared" si="0"/>
        <v>13.9832</v>
      </c>
      <c r="R12" s="11">
        <f t="shared" si="1"/>
        <v>13.9832</v>
      </c>
      <c r="S12" s="11">
        <f t="shared" si="2"/>
        <v>73.762500000000003</v>
      </c>
      <c r="T12" s="11">
        <f t="shared" si="3"/>
        <v>39.522399999999998</v>
      </c>
      <c r="U12" s="11">
        <f t="shared" si="4"/>
        <v>78.393000000000001</v>
      </c>
      <c r="V12" s="11">
        <f t="shared" si="5"/>
        <v>78.393000000000001</v>
      </c>
    </row>
    <row r="13" spans="2:22" x14ac:dyDescent="0.3">
      <c r="B13" s="2">
        <v>-1</v>
      </c>
      <c r="C13" s="2" t="s">
        <v>38</v>
      </c>
      <c r="D13" s="2" t="s">
        <v>23</v>
      </c>
      <c r="E13" s="2" t="s">
        <v>24</v>
      </c>
      <c r="F13" s="2"/>
      <c r="G13" s="2" t="s">
        <v>17</v>
      </c>
      <c r="H13" s="2">
        <v>-371.47879999999998</v>
      </c>
      <c r="I13" s="2">
        <v>9.0646000000000004</v>
      </c>
      <c r="J13" s="2">
        <v>3.7785000000000002</v>
      </c>
      <c r="K13" s="2">
        <v>2.1055000000000001</v>
      </c>
      <c r="L13" s="2">
        <v>3.3309000000000002</v>
      </c>
      <c r="M13" s="2">
        <v>-32.394599999999997</v>
      </c>
    </row>
    <row r="14" spans="2:22" x14ac:dyDescent="0.3">
      <c r="B14" s="2">
        <v>-1</v>
      </c>
      <c r="C14" s="2" t="s">
        <v>38</v>
      </c>
      <c r="D14" s="2" t="s">
        <v>25</v>
      </c>
      <c r="E14" s="2" t="s">
        <v>24</v>
      </c>
      <c r="F14" s="2"/>
      <c r="G14" s="2" t="s">
        <v>16</v>
      </c>
      <c r="H14" s="2">
        <v>-423.25749999999999</v>
      </c>
      <c r="I14" s="2">
        <v>3.0558000000000001</v>
      </c>
      <c r="J14" s="2">
        <v>7.6951000000000001</v>
      </c>
      <c r="K14" s="2">
        <v>4.4820000000000002</v>
      </c>
      <c r="L14" s="2">
        <v>-13.251799999999999</v>
      </c>
      <c r="M14" s="2">
        <v>-44.3735</v>
      </c>
    </row>
    <row r="15" spans="2:22" x14ac:dyDescent="0.3">
      <c r="B15" s="2">
        <v>-1</v>
      </c>
      <c r="C15" s="2" t="s">
        <v>38</v>
      </c>
      <c r="D15" s="2" t="s">
        <v>25</v>
      </c>
      <c r="E15" s="2" t="s">
        <v>24</v>
      </c>
      <c r="F15" s="2"/>
      <c r="G15" s="2" t="s">
        <v>17</v>
      </c>
      <c r="H15" s="2">
        <v>-432.83190000000002</v>
      </c>
      <c r="I15" s="2">
        <v>3.0558000000000001</v>
      </c>
      <c r="J15" s="2">
        <v>7.6951000000000001</v>
      </c>
      <c r="K15" s="2">
        <v>4.4820000000000002</v>
      </c>
      <c r="L15" s="2">
        <v>6.7556000000000003</v>
      </c>
      <c r="M15" s="2">
        <v>-36.428400000000003</v>
      </c>
    </row>
    <row r="16" spans="2:22" x14ac:dyDescent="0.3">
      <c r="B16" s="2">
        <v>-1</v>
      </c>
      <c r="C16" s="2" t="s">
        <v>38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102.46339999999999</v>
      </c>
      <c r="I16" s="2">
        <v>41.801600000000001</v>
      </c>
      <c r="J16" s="2">
        <v>3.2229000000000001</v>
      </c>
      <c r="K16" s="2">
        <v>1.5065999999999999</v>
      </c>
      <c r="L16" s="2">
        <v>-2.7635999999999998</v>
      </c>
      <c r="M16" s="2">
        <v>134.3185</v>
      </c>
    </row>
    <row r="17" spans="2:13" x14ac:dyDescent="0.3">
      <c r="B17" s="2">
        <v>-1</v>
      </c>
      <c r="C17" s="2" t="s">
        <v>38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95.282600000000002</v>
      </c>
      <c r="I17" s="2">
        <v>41.801600000000001</v>
      </c>
      <c r="J17" s="2">
        <v>3.2229000000000001</v>
      </c>
      <c r="K17" s="2">
        <v>1.5065999999999999</v>
      </c>
      <c r="L17" s="2">
        <v>3.4649000000000001</v>
      </c>
      <c r="M17" s="2">
        <v>57.824199999999998</v>
      </c>
    </row>
    <row r="18" spans="2:13" x14ac:dyDescent="0.3">
      <c r="B18" s="2">
        <v>-1</v>
      </c>
      <c r="C18" s="2" t="s">
        <v>38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-565.7174</v>
      </c>
      <c r="I18" s="2">
        <v>-30.147099999999998</v>
      </c>
      <c r="J18" s="2">
        <v>1.6352</v>
      </c>
      <c r="K18" s="2">
        <v>1.2003999999999999</v>
      </c>
      <c r="L18" s="2">
        <v>-5.5849000000000002</v>
      </c>
      <c r="M18" s="2">
        <v>-206.2705</v>
      </c>
    </row>
    <row r="19" spans="2:13" x14ac:dyDescent="0.3">
      <c r="B19" s="2">
        <v>-1</v>
      </c>
      <c r="C19" s="2" t="s">
        <v>38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-572.89819999999997</v>
      </c>
      <c r="I19" s="2">
        <v>-30.147099999999998</v>
      </c>
      <c r="J19" s="2">
        <v>1.6352</v>
      </c>
      <c r="K19" s="2">
        <v>1.2003999999999999</v>
      </c>
      <c r="L19" s="2">
        <v>0.81769999999999998</v>
      </c>
      <c r="M19" s="2">
        <v>-99.474500000000006</v>
      </c>
    </row>
    <row r="20" spans="2:13" x14ac:dyDescent="0.3">
      <c r="B20" s="2">
        <v>-1</v>
      </c>
      <c r="C20" s="2" t="s">
        <v>38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-46.259</v>
      </c>
      <c r="I20" s="2">
        <v>40.797899999999998</v>
      </c>
      <c r="J20" s="2">
        <v>6.8178000000000001</v>
      </c>
      <c r="K20" s="2">
        <v>3.6311</v>
      </c>
      <c r="L20" s="2">
        <v>-8.9588000000000001</v>
      </c>
      <c r="M20" s="2">
        <v>124.57299999999999</v>
      </c>
    </row>
    <row r="21" spans="2:13" x14ac:dyDescent="0.3">
      <c r="B21" s="2">
        <v>-1</v>
      </c>
      <c r="C21" s="2" t="s">
        <v>38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-55.833399999999997</v>
      </c>
      <c r="I21" s="2">
        <v>40.797899999999998</v>
      </c>
      <c r="J21" s="2">
        <v>6.8178000000000001</v>
      </c>
      <c r="K21" s="2">
        <v>3.6311</v>
      </c>
      <c r="L21" s="2">
        <v>6.6165000000000003</v>
      </c>
      <c r="M21" s="2">
        <v>45.469000000000001</v>
      </c>
    </row>
    <row r="22" spans="2:13" x14ac:dyDescent="0.3">
      <c r="B22" s="2">
        <v>-1</v>
      </c>
      <c r="C22" s="2" t="s">
        <v>38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-714.43989999999997</v>
      </c>
      <c r="I22" s="2">
        <v>-31.1508</v>
      </c>
      <c r="J22" s="2">
        <v>5.2301000000000002</v>
      </c>
      <c r="K22" s="2">
        <v>3.3249</v>
      </c>
      <c r="L22" s="2">
        <v>-11.780099999999999</v>
      </c>
      <c r="M22" s="2">
        <v>-216.01589999999999</v>
      </c>
    </row>
    <row r="23" spans="2:13" x14ac:dyDescent="0.3">
      <c r="B23" s="2">
        <v>-1</v>
      </c>
      <c r="C23" s="2" t="s">
        <v>38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-724.01430000000005</v>
      </c>
      <c r="I23" s="2">
        <v>-31.1508</v>
      </c>
      <c r="J23" s="2">
        <v>5.2301000000000002</v>
      </c>
      <c r="K23" s="2">
        <v>3.3249</v>
      </c>
      <c r="L23" s="2">
        <v>3.9693000000000001</v>
      </c>
      <c r="M23" s="2">
        <v>-111.8296</v>
      </c>
    </row>
    <row r="24" spans="2:13" x14ac:dyDescent="0.3">
      <c r="B24" s="2">
        <v>-1</v>
      </c>
      <c r="C24" s="2" t="s">
        <v>38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-115.1285</v>
      </c>
      <c r="I24" s="2">
        <v>38.201300000000003</v>
      </c>
      <c r="J24" s="2">
        <v>6.3910999999999998</v>
      </c>
      <c r="K24" s="2">
        <v>3.6251000000000002</v>
      </c>
      <c r="L24" s="2">
        <v>-9.6664999999999992</v>
      </c>
      <c r="M24" s="2">
        <v>314.51479999999998</v>
      </c>
    </row>
    <row r="25" spans="2:13" x14ac:dyDescent="0.3">
      <c r="B25" s="2">
        <v>-1</v>
      </c>
      <c r="C25" s="2" t="s">
        <v>38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-124.7029</v>
      </c>
      <c r="I25" s="2">
        <v>38.201300000000003</v>
      </c>
      <c r="J25" s="2">
        <v>6.3910999999999998</v>
      </c>
      <c r="K25" s="2">
        <v>3.6251000000000002</v>
      </c>
      <c r="L25" s="2">
        <v>5.5472000000000001</v>
      </c>
      <c r="M25" s="2">
        <v>244.8536</v>
      </c>
    </row>
    <row r="26" spans="2:13" x14ac:dyDescent="0.3">
      <c r="B26" s="2">
        <v>-1</v>
      </c>
      <c r="C26" s="2" t="s">
        <v>38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-645.57039999999995</v>
      </c>
      <c r="I26" s="2">
        <v>-28.554300000000001</v>
      </c>
      <c r="J26" s="2">
        <v>5.6569000000000003</v>
      </c>
      <c r="K26" s="2">
        <v>3.3308</v>
      </c>
      <c r="L26" s="2">
        <v>-11.0724</v>
      </c>
      <c r="M26" s="2">
        <v>-405.95769999999999</v>
      </c>
    </row>
    <row r="27" spans="2:13" x14ac:dyDescent="0.3">
      <c r="B27" s="2">
        <v>-1</v>
      </c>
      <c r="C27" s="2" t="s">
        <v>38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-655.14480000000003</v>
      </c>
      <c r="I27" s="2">
        <v>-28.554300000000001</v>
      </c>
      <c r="J27" s="2">
        <v>5.6569000000000003</v>
      </c>
      <c r="K27" s="2">
        <v>3.3308</v>
      </c>
      <c r="L27" s="2">
        <v>5.0385999999999997</v>
      </c>
      <c r="M27" s="2">
        <v>-311.21420000000001</v>
      </c>
    </row>
    <row r="28" spans="2:13" x14ac:dyDescent="0.3">
      <c r="B28" s="2">
        <v>-1</v>
      </c>
      <c r="C28" s="2" t="s">
        <v>38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102.46339999999999</v>
      </c>
      <c r="I28" s="2">
        <v>41.801600000000001</v>
      </c>
      <c r="J28" s="2">
        <v>7.6951000000000001</v>
      </c>
      <c r="K28" s="2">
        <v>4.4820000000000002</v>
      </c>
      <c r="L28" s="2">
        <v>-2.7635999999999998</v>
      </c>
      <c r="M28" s="2">
        <v>324.2602</v>
      </c>
    </row>
    <row r="29" spans="2:13" x14ac:dyDescent="0.3">
      <c r="B29" s="2">
        <v>-1</v>
      </c>
      <c r="C29" s="2" t="s">
        <v>38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95.282600000000002</v>
      </c>
      <c r="I29" s="2">
        <v>41.801600000000001</v>
      </c>
      <c r="J29" s="2">
        <v>7.6951000000000001</v>
      </c>
      <c r="K29" s="2">
        <v>4.4820000000000002</v>
      </c>
      <c r="L29" s="2">
        <v>6.7556000000000003</v>
      </c>
      <c r="M29" s="2">
        <v>257.20870000000002</v>
      </c>
    </row>
    <row r="30" spans="2:13" x14ac:dyDescent="0.3">
      <c r="B30" s="2">
        <v>-1</v>
      </c>
      <c r="C30" s="2" t="s">
        <v>38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-714.43989999999997</v>
      </c>
      <c r="I30" s="2">
        <v>-31.1508</v>
      </c>
      <c r="J30" s="2">
        <v>1.6352</v>
      </c>
      <c r="K30" s="2">
        <v>1.2003999999999999</v>
      </c>
      <c r="L30" s="2">
        <v>-13.251799999999999</v>
      </c>
      <c r="M30" s="2">
        <v>-405.95769999999999</v>
      </c>
    </row>
    <row r="31" spans="2:13" x14ac:dyDescent="0.3">
      <c r="B31" s="2">
        <v>-1</v>
      </c>
      <c r="C31" s="2" t="s">
        <v>38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-724.01430000000005</v>
      </c>
      <c r="I31" s="2">
        <v>-31.1508</v>
      </c>
      <c r="J31" s="2">
        <v>1.6352</v>
      </c>
      <c r="K31" s="2">
        <v>1.2003999999999999</v>
      </c>
      <c r="L31" s="2">
        <v>0.81769999999999998</v>
      </c>
      <c r="M31" s="2">
        <v>-311.21420000000001</v>
      </c>
    </row>
    <row r="32" spans="2:13" x14ac:dyDescent="0.3">
      <c r="B32" s="2">
        <v>-1</v>
      </c>
      <c r="C32" s="2" t="s">
        <v>38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33.594000000000001</v>
      </c>
      <c r="I32" s="2">
        <v>39.205100000000002</v>
      </c>
      <c r="J32" s="2">
        <v>2.7961</v>
      </c>
      <c r="K32" s="2">
        <v>1.5006999999999999</v>
      </c>
      <c r="L32" s="2">
        <v>-3.4712999999999998</v>
      </c>
      <c r="M32" s="2">
        <v>324.2602</v>
      </c>
    </row>
    <row r="33" spans="2:13" x14ac:dyDescent="0.3">
      <c r="B33" s="2">
        <v>-1</v>
      </c>
      <c r="C33" s="2" t="s">
        <v>38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26.4132</v>
      </c>
      <c r="I33" s="2">
        <v>39.205100000000002</v>
      </c>
      <c r="J33" s="2">
        <v>2.7961</v>
      </c>
      <c r="K33" s="2">
        <v>1.5006999999999999</v>
      </c>
      <c r="L33" s="2">
        <v>2.3956</v>
      </c>
      <c r="M33" s="2">
        <v>257.20870000000002</v>
      </c>
    </row>
    <row r="34" spans="2:13" x14ac:dyDescent="0.3">
      <c r="B34" s="2">
        <v>-1</v>
      </c>
      <c r="C34" s="2" t="s">
        <v>38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-496.84789999999998</v>
      </c>
      <c r="I34" s="2">
        <v>-27.5505</v>
      </c>
      <c r="J34" s="2">
        <v>2.0619999999999998</v>
      </c>
      <c r="K34" s="2">
        <v>1.2063999999999999</v>
      </c>
      <c r="L34" s="2">
        <v>-4.8772000000000002</v>
      </c>
      <c r="M34" s="2">
        <v>-396.21230000000003</v>
      </c>
    </row>
    <row r="35" spans="2:13" x14ac:dyDescent="0.3">
      <c r="B35" s="2">
        <v>-1</v>
      </c>
      <c r="C35" s="2" t="s">
        <v>38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-504.02870000000001</v>
      </c>
      <c r="I35" s="2">
        <v>-27.5505</v>
      </c>
      <c r="J35" s="2">
        <v>2.0619999999999998</v>
      </c>
      <c r="K35" s="2">
        <v>1.2063999999999999</v>
      </c>
      <c r="L35" s="2">
        <v>1.887</v>
      </c>
      <c r="M35" s="2">
        <v>-298.85899999999998</v>
      </c>
    </row>
    <row r="36" spans="2:13" x14ac:dyDescent="0.3">
      <c r="B36" s="2">
        <v>-1</v>
      </c>
      <c r="C36" s="2" t="s">
        <v>38</v>
      </c>
      <c r="D36" s="2" t="s">
        <v>32</v>
      </c>
      <c r="E36" s="2" t="s">
        <v>24</v>
      </c>
      <c r="F36" s="2"/>
      <c r="G36" s="2" t="s">
        <v>16</v>
      </c>
      <c r="H36" s="2">
        <v>-328.8768</v>
      </c>
      <c r="I36" s="2">
        <v>3.5286</v>
      </c>
      <c r="J36" s="2">
        <v>5.4842000000000004</v>
      </c>
      <c r="K36" s="2">
        <v>3.1772</v>
      </c>
      <c r="L36" s="2">
        <v>-9.4419000000000004</v>
      </c>
      <c r="M36" s="2">
        <v>-37.726799999999997</v>
      </c>
    </row>
    <row r="37" spans="2:13" x14ac:dyDescent="0.3">
      <c r="B37" s="2">
        <v>-1</v>
      </c>
      <c r="C37" s="2" t="s">
        <v>38</v>
      </c>
      <c r="D37" s="2" t="s">
        <v>32</v>
      </c>
      <c r="E37" s="2" t="s">
        <v>24</v>
      </c>
      <c r="F37" s="2"/>
      <c r="G37" s="2" t="s">
        <v>17</v>
      </c>
      <c r="H37" s="2">
        <v>-336.85539999999997</v>
      </c>
      <c r="I37" s="2">
        <v>3.5286</v>
      </c>
      <c r="J37" s="2">
        <v>5.4842000000000004</v>
      </c>
      <c r="K37" s="2">
        <v>3.1772</v>
      </c>
      <c r="L37" s="2">
        <v>4.8170999999999999</v>
      </c>
      <c r="M37" s="2">
        <v>-28.552499999999998</v>
      </c>
    </row>
    <row r="38" spans="2:13" x14ac:dyDescent="0.3">
      <c r="B38" s="2">
        <v>-1</v>
      </c>
      <c r="C38" s="2" t="s">
        <v>39</v>
      </c>
      <c r="D38" s="2" t="s">
        <v>14</v>
      </c>
      <c r="E38" s="2" t="s">
        <v>15</v>
      </c>
      <c r="F38" s="2"/>
      <c r="G38" s="2" t="s">
        <v>16</v>
      </c>
      <c r="H38" s="2">
        <v>-145.9956</v>
      </c>
      <c r="I38" s="2">
        <v>-27.214300000000001</v>
      </c>
      <c r="J38" s="2">
        <v>0.3</v>
      </c>
      <c r="K38" s="2">
        <v>-1.6500000000000001E-2</v>
      </c>
      <c r="L38" s="2">
        <v>-0.57679999999999998</v>
      </c>
      <c r="M38" s="2">
        <v>121.2713</v>
      </c>
    </row>
    <row r="39" spans="2:13" x14ac:dyDescent="0.3">
      <c r="B39" s="2">
        <v>-1</v>
      </c>
      <c r="C39" s="2" t="s">
        <v>39</v>
      </c>
      <c r="D39" s="2" t="s">
        <v>14</v>
      </c>
      <c r="E39" s="2" t="s">
        <v>15</v>
      </c>
      <c r="F39" s="2"/>
      <c r="G39" s="2" t="s">
        <v>17</v>
      </c>
      <c r="H39" s="2">
        <v>-154.28309999999999</v>
      </c>
      <c r="I39" s="2">
        <v>-27.214300000000001</v>
      </c>
      <c r="J39" s="2">
        <v>0.3</v>
      </c>
      <c r="K39" s="2">
        <v>-1.6500000000000001E-2</v>
      </c>
      <c r="L39" s="2">
        <v>0.2031</v>
      </c>
      <c r="M39" s="2">
        <v>50.514200000000002</v>
      </c>
    </row>
    <row r="40" spans="2:13" x14ac:dyDescent="0.3">
      <c r="B40" s="2">
        <v>-1</v>
      </c>
      <c r="C40" s="2" t="s">
        <v>39</v>
      </c>
      <c r="D40" s="2" t="s">
        <v>18</v>
      </c>
      <c r="E40" s="2" t="s">
        <v>15</v>
      </c>
      <c r="F40" s="2"/>
      <c r="G40" s="2" t="s">
        <v>16</v>
      </c>
      <c r="H40" s="2">
        <v>-38.252800000000001</v>
      </c>
      <c r="I40" s="2">
        <v>-8.6232000000000006</v>
      </c>
      <c r="J40" s="2">
        <v>0.51400000000000001</v>
      </c>
      <c r="K40" s="2">
        <v>-0.41620000000000001</v>
      </c>
      <c r="L40" s="2">
        <v>-0.94079999999999997</v>
      </c>
      <c r="M40" s="2">
        <v>31.471699999999998</v>
      </c>
    </row>
    <row r="41" spans="2:13" x14ac:dyDescent="0.3">
      <c r="B41" s="2">
        <v>-1</v>
      </c>
      <c r="C41" s="2" t="s">
        <v>39</v>
      </c>
      <c r="D41" s="2" t="s">
        <v>18</v>
      </c>
      <c r="E41" s="2" t="s">
        <v>15</v>
      </c>
      <c r="F41" s="2"/>
      <c r="G41" s="2" t="s">
        <v>17</v>
      </c>
      <c r="H41" s="2">
        <v>-38.252800000000001</v>
      </c>
      <c r="I41" s="2">
        <v>-8.6232000000000006</v>
      </c>
      <c r="J41" s="2">
        <v>0.51400000000000001</v>
      </c>
      <c r="K41" s="2">
        <v>-0.41620000000000001</v>
      </c>
      <c r="L41" s="2">
        <v>0.39560000000000001</v>
      </c>
      <c r="M41" s="2">
        <v>9.0513999999999992</v>
      </c>
    </row>
    <row r="42" spans="2:13" x14ac:dyDescent="0.3">
      <c r="B42" s="2">
        <v>-1</v>
      </c>
      <c r="C42" s="2" t="s">
        <v>39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60.721699999999998</v>
      </c>
      <c r="I42" s="2">
        <v>28.7636</v>
      </c>
      <c r="J42" s="2">
        <v>0.22620000000000001</v>
      </c>
      <c r="K42" s="2">
        <v>0.23369999999999999</v>
      </c>
      <c r="L42" s="2">
        <v>0.3886</v>
      </c>
      <c r="M42" s="2">
        <v>239.37010000000001</v>
      </c>
    </row>
    <row r="43" spans="2:13" x14ac:dyDescent="0.3">
      <c r="B43" s="2">
        <v>-1</v>
      </c>
      <c r="C43" s="2" t="s">
        <v>39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60.721699999999998</v>
      </c>
      <c r="I43" s="2">
        <v>28.7636</v>
      </c>
      <c r="J43" s="2">
        <v>0.22620000000000001</v>
      </c>
      <c r="K43" s="2">
        <v>0.23369999999999999</v>
      </c>
      <c r="L43" s="2">
        <v>0.2031</v>
      </c>
      <c r="M43" s="2">
        <v>243.2748</v>
      </c>
    </row>
    <row r="44" spans="2:13" x14ac:dyDescent="0.3">
      <c r="B44" s="2">
        <v>-1</v>
      </c>
      <c r="C44" s="2" t="s">
        <v>39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78.393000000000001</v>
      </c>
      <c r="I44" s="2">
        <v>13.9832</v>
      </c>
      <c r="J44" s="2">
        <v>0.39219999999999999</v>
      </c>
      <c r="K44" s="2">
        <v>0.1361</v>
      </c>
      <c r="L44" s="2">
        <v>1.0882000000000001</v>
      </c>
      <c r="M44" s="2">
        <v>73.762500000000003</v>
      </c>
    </row>
    <row r="45" spans="2:13" x14ac:dyDescent="0.3">
      <c r="B45" s="2">
        <v>-1</v>
      </c>
      <c r="C45" s="2" t="s">
        <v>39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78.393000000000001</v>
      </c>
      <c r="I45" s="2">
        <v>13.9832</v>
      </c>
      <c r="J45" s="2">
        <v>0.39219999999999999</v>
      </c>
      <c r="K45" s="2">
        <v>0.1361</v>
      </c>
      <c r="L45" s="2">
        <v>0.20649999999999999</v>
      </c>
      <c r="M45" s="2">
        <v>39.522399999999998</v>
      </c>
    </row>
    <row r="46" spans="2:13" x14ac:dyDescent="0.3">
      <c r="B46" s="2">
        <v>-1</v>
      </c>
      <c r="C46" s="2" t="s">
        <v>39</v>
      </c>
      <c r="D46" s="2" t="s">
        <v>23</v>
      </c>
      <c r="E46" s="2" t="s">
        <v>24</v>
      </c>
      <c r="F46" s="2"/>
      <c r="G46" s="2" t="s">
        <v>16</v>
      </c>
      <c r="H46" s="2">
        <v>-204.3939</v>
      </c>
      <c r="I46" s="2">
        <v>-38.1</v>
      </c>
      <c r="J46" s="2">
        <v>0.42</v>
      </c>
      <c r="K46" s="2">
        <v>-2.3E-2</v>
      </c>
      <c r="L46" s="2">
        <v>-0.80759999999999998</v>
      </c>
      <c r="M46" s="2">
        <v>169.77979999999999</v>
      </c>
    </row>
    <row r="47" spans="2:13" x14ac:dyDescent="0.3">
      <c r="B47" s="2">
        <v>-1</v>
      </c>
      <c r="C47" s="2" t="s">
        <v>39</v>
      </c>
      <c r="D47" s="2" t="s">
        <v>23</v>
      </c>
      <c r="E47" s="2" t="s">
        <v>24</v>
      </c>
      <c r="F47" s="2"/>
      <c r="G47" s="2" t="s">
        <v>17</v>
      </c>
      <c r="H47" s="2">
        <v>-215.99629999999999</v>
      </c>
      <c r="I47" s="2">
        <v>-38.1</v>
      </c>
      <c r="J47" s="2">
        <v>0.42</v>
      </c>
      <c r="K47" s="2">
        <v>-2.3E-2</v>
      </c>
      <c r="L47" s="2">
        <v>0.2843</v>
      </c>
      <c r="M47" s="2">
        <v>70.719899999999996</v>
      </c>
    </row>
    <row r="48" spans="2:13" x14ac:dyDescent="0.3">
      <c r="B48" s="2">
        <v>-1</v>
      </c>
      <c r="C48" s="2" t="s">
        <v>39</v>
      </c>
      <c r="D48" s="2" t="s">
        <v>25</v>
      </c>
      <c r="E48" s="2" t="s">
        <v>24</v>
      </c>
      <c r="F48" s="2"/>
      <c r="G48" s="2" t="s">
        <v>16</v>
      </c>
      <c r="H48" s="2">
        <v>-236.39920000000001</v>
      </c>
      <c r="I48" s="2">
        <v>-46.4542</v>
      </c>
      <c r="J48" s="2">
        <v>1.1823999999999999</v>
      </c>
      <c r="K48" s="2">
        <v>-0.68569999999999998</v>
      </c>
      <c r="L48" s="2">
        <v>-2.1974999999999998</v>
      </c>
      <c r="M48" s="2">
        <v>195.88030000000001</v>
      </c>
    </row>
    <row r="49" spans="2:13" x14ac:dyDescent="0.3">
      <c r="B49" s="2">
        <v>-1</v>
      </c>
      <c r="C49" s="2" t="s">
        <v>39</v>
      </c>
      <c r="D49" s="2" t="s">
        <v>25</v>
      </c>
      <c r="E49" s="2" t="s">
        <v>24</v>
      </c>
      <c r="F49" s="2"/>
      <c r="G49" s="2" t="s">
        <v>17</v>
      </c>
      <c r="H49" s="2">
        <v>-246.3441</v>
      </c>
      <c r="I49" s="2">
        <v>-46.4542</v>
      </c>
      <c r="J49" s="2">
        <v>1.1823999999999999</v>
      </c>
      <c r="K49" s="2">
        <v>-0.68569999999999998</v>
      </c>
      <c r="L49" s="2">
        <v>0.87670000000000003</v>
      </c>
      <c r="M49" s="2">
        <v>75.099299999999999</v>
      </c>
    </row>
    <row r="50" spans="2:13" x14ac:dyDescent="0.3">
      <c r="B50" s="2">
        <v>-1</v>
      </c>
      <c r="C50" s="2" t="s">
        <v>39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-46.385599999999997</v>
      </c>
      <c r="I50" s="2">
        <v>15.776300000000001</v>
      </c>
      <c r="J50" s="2">
        <v>0.58660000000000001</v>
      </c>
      <c r="K50" s="2">
        <v>0.31230000000000002</v>
      </c>
      <c r="L50" s="2">
        <v>2.4899999999999999E-2</v>
      </c>
      <c r="M50" s="2">
        <v>444.26229999999998</v>
      </c>
    </row>
    <row r="51" spans="2:13" x14ac:dyDescent="0.3">
      <c r="B51" s="2">
        <v>-1</v>
      </c>
      <c r="C51" s="2" t="s">
        <v>39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-53.844299999999997</v>
      </c>
      <c r="I51" s="2">
        <v>15.776300000000001</v>
      </c>
      <c r="J51" s="2">
        <v>0.58660000000000001</v>
      </c>
      <c r="K51" s="2">
        <v>0.31230000000000002</v>
      </c>
      <c r="L51" s="2">
        <v>0.46710000000000002</v>
      </c>
      <c r="M51" s="2">
        <v>386.04759999999999</v>
      </c>
    </row>
    <row r="52" spans="2:13" x14ac:dyDescent="0.3">
      <c r="B52" s="2">
        <v>-1</v>
      </c>
      <c r="C52" s="2" t="s">
        <v>39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-216.40649999999999</v>
      </c>
      <c r="I52" s="2">
        <v>-64.761899999999997</v>
      </c>
      <c r="J52" s="2">
        <v>-4.6699999999999998E-2</v>
      </c>
      <c r="K52" s="2">
        <v>-0.34200000000000003</v>
      </c>
      <c r="L52" s="2">
        <v>-1.0631999999999999</v>
      </c>
      <c r="M52" s="2">
        <v>-225.97399999999999</v>
      </c>
    </row>
    <row r="53" spans="2:13" x14ac:dyDescent="0.3">
      <c r="B53" s="2">
        <v>-1</v>
      </c>
      <c r="C53" s="2" t="s">
        <v>39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-223.86519999999999</v>
      </c>
      <c r="I53" s="2">
        <v>-64.761899999999997</v>
      </c>
      <c r="J53" s="2">
        <v>-4.6699999999999998E-2</v>
      </c>
      <c r="K53" s="2">
        <v>-0.34200000000000003</v>
      </c>
      <c r="L53" s="2">
        <v>-0.1016</v>
      </c>
      <c r="M53" s="2">
        <v>-295.12200000000001</v>
      </c>
    </row>
    <row r="54" spans="2:13" x14ac:dyDescent="0.3">
      <c r="B54" s="2">
        <v>-1</v>
      </c>
      <c r="C54" s="2" t="s">
        <v>39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-128.43709999999999</v>
      </c>
      <c r="I54" s="2">
        <v>-1.0112000000000001</v>
      </c>
      <c r="J54" s="2">
        <v>1.1906000000000001</v>
      </c>
      <c r="K54" s="2">
        <v>-0.10879999999999999</v>
      </c>
      <c r="L54" s="2">
        <v>-1.089</v>
      </c>
      <c r="M54" s="2">
        <v>512.11540000000002</v>
      </c>
    </row>
    <row r="55" spans="2:13" x14ac:dyDescent="0.3">
      <c r="B55" s="2">
        <v>-1</v>
      </c>
      <c r="C55" s="2" t="s">
        <v>39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-138.38200000000001</v>
      </c>
      <c r="I55" s="2">
        <v>-1.0112000000000001</v>
      </c>
      <c r="J55" s="2">
        <v>1.1906000000000001</v>
      </c>
      <c r="K55" s="2">
        <v>-0.10879999999999999</v>
      </c>
      <c r="L55" s="2">
        <v>0.92369999999999997</v>
      </c>
      <c r="M55" s="2">
        <v>410.25330000000002</v>
      </c>
    </row>
    <row r="56" spans="2:13" x14ac:dyDescent="0.3">
      <c r="B56" s="2">
        <v>-1</v>
      </c>
      <c r="C56" s="2" t="s">
        <v>39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-298.45800000000003</v>
      </c>
      <c r="I56" s="2">
        <v>-81.549400000000006</v>
      </c>
      <c r="J56" s="2">
        <v>0.55730000000000002</v>
      </c>
      <c r="K56" s="2">
        <v>-0.7631</v>
      </c>
      <c r="L56" s="2">
        <v>-2.1770999999999998</v>
      </c>
      <c r="M56" s="2">
        <v>-158.12090000000001</v>
      </c>
    </row>
    <row r="57" spans="2:13" x14ac:dyDescent="0.3">
      <c r="B57" s="2">
        <v>-1</v>
      </c>
      <c r="C57" s="2" t="s">
        <v>39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-308.40289999999999</v>
      </c>
      <c r="I57" s="2">
        <v>-81.549400000000006</v>
      </c>
      <c r="J57" s="2">
        <v>0.55730000000000002</v>
      </c>
      <c r="K57" s="2">
        <v>-0.7631</v>
      </c>
      <c r="L57" s="2">
        <v>0.35499999999999998</v>
      </c>
      <c r="M57" s="2">
        <v>-270.91629999999998</v>
      </c>
    </row>
    <row r="58" spans="2:13" x14ac:dyDescent="0.3">
      <c r="B58" s="2">
        <v>-1</v>
      </c>
      <c r="C58" s="2" t="s">
        <v>39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-103.6973</v>
      </c>
      <c r="I58" s="2">
        <v>-21.703800000000001</v>
      </c>
      <c r="J58" s="2">
        <v>1.423</v>
      </c>
      <c r="K58" s="2">
        <v>-0.2455</v>
      </c>
      <c r="L58" s="2">
        <v>-0.1095</v>
      </c>
      <c r="M58" s="2">
        <v>280.2647</v>
      </c>
    </row>
    <row r="59" spans="2:13" x14ac:dyDescent="0.3">
      <c r="B59" s="2">
        <v>-1</v>
      </c>
      <c r="C59" s="2" t="s">
        <v>39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-113.6422</v>
      </c>
      <c r="I59" s="2">
        <v>-21.703800000000001</v>
      </c>
      <c r="J59" s="2">
        <v>1.423</v>
      </c>
      <c r="K59" s="2">
        <v>-0.2455</v>
      </c>
      <c r="L59" s="2">
        <v>0.92849999999999999</v>
      </c>
      <c r="M59" s="2">
        <v>124.99979999999999</v>
      </c>
    </row>
    <row r="60" spans="2:13" x14ac:dyDescent="0.3">
      <c r="B60" s="2">
        <v>-1</v>
      </c>
      <c r="C60" s="2" t="s">
        <v>39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-323.1977</v>
      </c>
      <c r="I60" s="2">
        <v>-60.8568</v>
      </c>
      <c r="J60" s="2">
        <v>0.32490000000000002</v>
      </c>
      <c r="K60" s="2">
        <v>-0.62639999999999996</v>
      </c>
      <c r="L60" s="2">
        <v>-3.1564999999999999</v>
      </c>
      <c r="M60" s="2">
        <v>73.729799999999997</v>
      </c>
    </row>
    <row r="61" spans="2:13" x14ac:dyDescent="0.3">
      <c r="B61" s="2">
        <v>-1</v>
      </c>
      <c r="C61" s="2" t="s">
        <v>39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-333.14269999999999</v>
      </c>
      <c r="I61" s="2">
        <v>-60.8568</v>
      </c>
      <c r="J61" s="2">
        <v>0.32490000000000002</v>
      </c>
      <c r="K61" s="2">
        <v>-0.62639999999999996</v>
      </c>
      <c r="L61" s="2">
        <v>0.35020000000000001</v>
      </c>
      <c r="M61" s="2">
        <v>14.3371</v>
      </c>
    </row>
    <row r="62" spans="2:13" x14ac:dyDescent="0.3">
      <c r="B62" s="2">
        <v>-1</v>
      </c>
      <c r="C62" s="2" t="s">
        <v>39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-21.645900000000001</v>
      </c>
      <c r="I62" s="2">
        <v>15.776300000000001</v>
      </c>
      <c r="J62" s="2">
        <v>1.423</v>
      </c>
      <c r="K62" s="2">
        <v>0.31230000000000002</v>
      </c>
      <c r="L62" s="2">
        <v>1.0043</v>
      </c>
      <c r="M62" s="2">
        <v>512.11540000000002</v>
      </c>
    </row>
    <row r="63" spans="2:13" x14ac:dyDescent="0.3">
      <c r="B63" s="2">
        <v>-1</v>
      </c>
      <c r="C63" s="2" t="s">
        <v>39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-29.104500000000002</v>
      </c>
      <c r="I63" s="2">
        <v>15.776300000000001</v>
      </c>
      <c r="J63" s="2">
        <v>1.423</v>
      </c>
      <c r="K63" s="2">
        <v>0.31230000000000002</v>
      </c>
      <c r="L63" s="2">
        <v>0.92849999999999999</v>
      </c>
      <c r="M63" s="2">
        <v>410.25330000000002</v>
      </c>
    </row>
    <row r="64" spans="2:13" x14ac:dyDescent="0.3">
      <c r="B64" s="2">
        <v>-1</v>
      </c>
      <c r="C64" s="2" t="s">
        <v>39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-323.1977</v>
      </c>
      <c r="I64" s="2">
        <v>-81.549400000000006</v>
      </c>
      <c r="J64" s="2">
        <v>-0.27910000000000001</v>
      </c>
      <c r="K64" s="2">
        <v>-0.7631</v>
      </c>
      <c r="L64" s="2">
        <v>-3.1564999999999999</v>
      </c>
      <c r="M64" s="2">
        <v>-225.97399999999999</v>
      </c>
    </row>
    <row r="65" spans="2:13" x14ac:dyDescent="0.3">
      <c r="B65" s="2">
        <v>-1</v>
      </c>
      <c r="C65" s="2" t="s">
        <v>39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-333.14269999999999</v>
      </c>
      <c r="I65" s="2">
        <v>-81.549400000000006</v>
      </c>
      <c r="J65" s="2">
        <v>-0.27910000000000001</v>
      </c>
      <c r="K65" s="2">
        <v>-0.7631</v>
      </c>
      <c r="L65" s="2">
        <v>-0.10639999999999999</v>
      </c>
      <c r="M65" s="2">
        <v>-295.12200000000001</v>
      </c>
    </row>
    <row r="66" spans="2:13" x14ac:dyDescent="0.3">
      <c r="B66" s="2">
        <v>-1</v>
      </c>
      <c r="C66" s="2" t="s">
        <v>39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-21.645900000000001</v>
      </c>
      <c r="I66" s="2">
        <v>-4.9162999999999997</v>
      </c>
      <c r="J66" s="2">
        <v>0.81899999999999995</v>
      </c>
      <c r="K66" s="2">
        <v>0.1757</v>
      </c>
      <c r="L66" s="2">
        <v>1.0043</v>
      </c>
      <c r="M66" s="2">
        <v>212.41159999999999</v>
      </c>
    </row>
    <row r="67" spans="2:13" x14ac:dyDescent="0.3">
      <c r="B67" s="2">
        <v>-1</v>
      </c>
      <c r="C67" s="2" t="s">
        <v>39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-29.104500000000002</v>
      </c>
      <c r="I67" s="2">
        <v>-4.9162999999999997</v>
      </c>
      <c r="J67" s="2">
        <v>0.81899999999999995</v>
      </c>
      <c r="K67" s="2">
        <v>0.1757</v>
      </c>
      <c r="L67" s="2">
        <v>0.47189999999999999</v>
      </c>
      <c r="M67" s="2">
        <v>100.7941</v>
      </c>
    </row>
    <row r="68" spans="2:13" x14ac:dyDescent="0.3">
      <c r="B68" s="2">
        <v>-1</v>
      </c>
      <c r="C68" s="2" t="s">
        <v>39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-241.1463</v>
      </c>
      <c r="I68" s="2">
        <v>-44.069299999999998</v>
      </c>
      <c r="J68" s="2">
        <v>-0.27910000000000001</v>
      </c>
      <c r="K68" s="2">
        <v>-0.20530000000000001</v>
      </c>
      <c r="L68" s="2">
        <v>-2.0426000000000002</v>
      </c>
      <c r="M68" s="2">
        <v>5.8766999999999996</v>
      </c>
    </row>
    <row r="69" spans="2:13" x14ac:dyDescent="0.3">
      <c r="B69" s="2">
        <v>-1</v>
      </c>
      <c r="C69" s="2" t="s">
        <v>39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-248.60499999999999</v>
      </c>
      <c r="I69" s="2">
        <v>-44.069299999999998</v>
      </c>
      <c r="J69" s="2">
        <v>-0.27910000000000001</v>
      </c>
      <c r="K69" s="2">
        <v>-0.20530000000000001</v>
      </c>
      <c r="L69" s="2">
        <v>-0.10639999999999999</v>
      </c>
      <c r="M69" s="2">
        <v>-9.8684999999999992</v>
      </c>
    </row>
    <row r="70" spans="2:13" x14ac:dyDescent="0.3">
      <c r="B70" s="2">
        <v>-1</v>
      </c>
      <c r="C70" s="2" t="s">
        <v>39</v>
      </c>
      <c r="D70" s="2" t="s">
        <v>32</v>
      </c>
      <c r="E70" s="2" t="s">
        <v>24</v>
      </c>
      <c r="F70" s="2"/>
      <c r="G70" s="2" t="s">
        <v>16</v>
      </c>
      <c r="H70" s="2">
        <v>-184.2484</v>
      </c>
      <c r="I70" s="2">
        <v>-35.837499999999999</v>
      </c>
      <c r="J70" s="2">
        <v>0.81399999999999995</v>
      </c>
      <c r="K70" s="2">
        <v>-0.43269999999999997</v>
      </c>
      <c r="L70" s="2">
        <v>-1.5177</v>
      </c>
      <c r="M70" s="2">
        <v>152.74299999999999</v>
      </c>
    </row>
    <row r="71" spans="2:13" x14ac:dyDescent="0.3">
      <c r="B71" s="2">
        <v>-1</v>
      </c>
      <c r="C71" s="2" t="s">
        <v>39</v>
      </c>
      <c r="D71" s="2" t="s">
        <v>32</v>
      </c>
      <c r="E71" s="2" t="s">
        <v>24</v>
      </c>
      <c r="F71" s="2"/>
      <c r="G71" s="2" t="s">
        <v>17</v>
      </c>
      <c r="H71" s="2">
        <v>-192.53579999999999</v>
      </c>
      <c r="I71" s="2">
        <v>-35.837499999999999</v>
      </c>
      <c r="J71" s="2">
        <v>0.81399999999999995</v>
      </c>
      <c r="K71" s="2">
        <v>-0.43269999999999997</v>
      </c>
      <c r="L71" s="2">
        <v>0.59870000000000001</v>
      </c>
      <c r="M71" s="2">
        <v>59.565600000000003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78A7-5D1F-4876-B4B2-7EA1BFA77915}">
  <dimension ref="B2:V37"/>
  <sheetViews>
    <sheetView topLeftCell="A13" workbookViewId="0">
      <selection activeCell="O2" sqref="O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40</v>
      </c>
      <c r="D4" s="2" t="s">
        <v>14</v>
      </c>
      <c r="E4" s="2" t="s">
        <v>15</v>
      </c>
      <c r="F4" s="2"/>
      <c r="G4" s="2" t="s">
        <v>16</v>
      </c>
      <c r="H4" s="2">
        <v>-676.28039999999999</v>
      </c>
      <c r="I4" s="2">
        <v>-2.7275999999999998</v>
      </c>
      <c r="J4" s="2">
        <v>-0.43780000000000002</v>
      </c>
      <c r="K4" s="2">
        <v>1.78E-2</v>
      </c>
      <c r="L4" s="2">
        <v>1.7743</v>
      </c>
      <c r="M4" s="2">
        <v>-57.082900000000002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40</v>
      </c>
      <c r="D5" s="2" t="s">
        <v>14</v>
      </c>
      <c r="E5" s="2" t="s">
        <v>15</v>
      </c>
      <c r="F5" s="2"/>
      <c r="G5" s="2" t="s">
        <v>17</v>
      </c>
      <c r="H5" s="2">
        <v>-688.10640000000001</v>
      </c>
      <c r="I5" s="2">
        <v>-2.7275999999999998</v>
      </c>
      <c r="J5" s="2">
        <v>-0.43780000000000002</v>
      </c>
      <c r="K5" s="2">
        <v>1.78E-2</v>
      </c>
      <c r="L5" s="2">
        <v>0.63600000000000001</v>
      </c>
      <c r="M5" s="2">
        <v>-64.174599999999998</v>
      </c>
      <c r="O5" s="9" t="s">
        <v>40</v>
      </c>
      <c r="P5" s="9" t="s">
        <v>14</v>
      </c>
      <c r="Q5" s="11">
        <f>_xlfn.MAXIFS($I$4:$I$36,$C$4:$C$36,$O5,$D$4:$D$36,$P5)</f>
        <v>-2.7275999999999998</v>
      </c>
      <c r="R5" s="11">
        <f>_xlfn.MINIFS($I$4:$I$36,$C$4:$C$36,$O5,$D$4:$D$36,$P5)</f>
        <v>-2.7275999999999998</v>
      </c>
      <c r="S5" s="11">
        <f>_xlfn.MAXIFS($M$4:$M$36,$C$4:$C$36,$O5,$D$4:$D$36,$P5)</f>
        <v>-57.082900000000002</v>
      </c>
      <c r="T5" s="11">
        <f>_xlfn.MINIFS($M$4:$M$36,$C$4:$C$36,$O5,$D$4:$D$36,$P5)</f>
        <v>-64.174599999999998</v>
      </c>
      <c r="U5" s="11">
        <f>_xlfn.MAXIFS($H$4:$H$36,$C$4:$C$36,$O5,$D$4:$D$36,$P5)</f>
        <v>-676.28039999999999</v>
      </c>
      <c r="V5" s="11">
        <f>_xlfn.MINIFS($H$4:$H$36,$C$4:$C$36,$O5,$D$4:$D$36,$P5)</f>
        <v>-688.10640000000001</v>
      </c>
    </row>
    <row r="6" spans="2:22" x14ac:dyDescent="0.3">
      <c r="B6" s="2">
        <v>-1</v>
      </c>
      <c r="C6" s="2" t="s">
        <v>40</v>
      </c>
      <c r="D6" s="2" t="s">
        <v>18</v>
      </c>
      <c r="E6" s="2" t="s">
        <v>15</v>
      </c>
      <c r="F6" s="2"/>
      <c r="G6" s="2" t="s">
        <v>16</v>
      </c>
      <c r="H6" s="2">
        <v>-168.20750000000001</v>
      </c>
      <c r="I6" s="2">
        <v>-8.4778000000000002</v>
      </c>
      <c r="J6" s="2">
        <v>0.22239999999999999</v>
      </c>
      <c r="K6" s="2">
        <v>-0.66200000000000003</v>
      </c>
      <c r="L6" s="2">
        <v>-4.5999999999999999E-3</v>
      </c>
      <c r="M6" s="2">
        <v>2.7890000000000001</v>
      </c>
      <c r="O6" s="9" t="s">
        <v>40</v>
      </c>
      <c r="P6" s="9" t="s">
        <v>18</v>
      </c>
      <c r="Q6" s="11">
        <f>_xlfn.MAXIFS($I$4:$I$36,$C$4:$C$36,$O6,$D$4:$D$36,$P6)</f>
        <v>-8.4778000000000002</v>
      </c>
      <c r="R6" s="11">
        <f>_xlfn.MINIFS($I$4:$I$36,$C$4:$C$36,$O6,$D$4:$D$36,$P6)</f>
        <v>-8.4778000000000002</v>
      </c>
      <c r="S6" s="11">
        <f>_xlfn.MAXIFS($M$4:$M$36,$C$4:$C$36,$O6,$D$4:$D$36,$P6)</f>
        <v>2.7890000000000001</v>
      </c>
      <c r="T6" s="11">
        <f>_xlfn.MINIFS($M$4:$M$36,$C$4:$C$36,$O6,$D$4:$D$36,$P6)</f>
        <v>-19.253299999999999</v>
      </c>
      <c r="U6" s="11">
        <f>_xlfn.MAXIFS($H$4:$H$36,$C$4:$C$36,$O6,$D$4:$D$36,$P6)</f>
        <v>-168.20750000000001</v>
      </c>
      <c r="V6" s="11">
        <f>_xlfn.MINIFS($H$4:$H$36,$C$4:$C$36,$O6,$D$4:$D$36,$P6)</f>
        <v>-168.20750000000001</v>
      </c>
    </row>
    <row r="7" spans="2:22" x14ac:dyDescent="0.3">
      <c r="B7" s="2">
        <v>-1</v>
      </c>
      <c r="C7" s="2" t="s">
        <v>40</v>
      </c>
      <c r="D7" s="2" t="s">
        <v>18</v>
      </c>
      <c r="E7" s="2" t="s">
        <v>15</v>
      </c>
      <c r="F7" s="2"/>
      <c r="G7" s="2" t="s">
        <v>17</v>
      </c>
      <c r="H7" s="2">
        <v>-168.20750000000001</v>
      </c>
      <c r="I7" s="2">
        <v>-8.4778000000000002</v>
      </c>
      <c r="J7" s="2">
        <v>0.22239999999999999</v>
      </c>
      <c r="K7" s="2">
        <v>-0.66200000000000003</v>
      </c>
      <c r="L7" s="2">
        <v>0.57379999999999998</v>
      </c>
      <c r="M7" s="2">
        <v>-19.253299999999999</v>
      </c>
      <c r="O7" s="9" t="s">
        <v>40</v>
      </c>
      <c r="P7" s="9" t="s">
        <v>19</v>
      </c>
      <c r="Q7" s="11">
        <f>_xlfn.MAXIFS($I$4:$I$36,$C$4:$C$36,$O7,$D$4:$D$36,$P7)</f>
        <v>5.1077000000000004</v>
      </c>
      <c r="R7" s="11">
        <f>_xlfn.MINIFS($I$4:$I$36,$C$4:$C$36,$O7,$D$4:$D$36,$P7)</f>
        <v>5.1077000000000004</v>
      </c>
      <c r="S7" s="11">
        <f>_xlfn.MAXIFS($M$4:$M$36,$C$4:$C$36,$O7,$D$4:$D$36,$P7)</f>
        <v>64.9846</v>
      </c>
      <c r="T7" s="11">
        <f>_xlfn.MINIFS($M$4:$M$36,$C$4:$C$36,$O7,$D$4:$D$36,$P7)</f>
        <v>62.44</v>
      </c>
      <c r="U7" s="11">
        <f>_xlfn.MAXIFS($H$4:$H$36,$C$4:$C$36,$O7,$D$4:$D$36,$P7)</f>
        <v>69.983699999999999</v>
      </c>
      <c r="V7" s="11">
        <f>_xlfn.MINIFS($H$4:$H$36,$C$4:$C$36,$O7,$D$4:$D$36,$P7)</f>
        <v>69.983699999999999</v>
      </c>
    </row>
    <row r="8" spans="2:22" x14ac:dyDescent="0.3">
      <c r="B8" s="2">
        <v>-1</v>
      </c>
      <c r="C8" s="2" t="s">
        <v>40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69.983699999999999</v>
      </c>
      <c r="I8" s="2">
        <v>5.1077000000000004</v>
      </c>
      <c r="J8" s="2">
        <v>1.0547</v>
      </c>
      <c r="K8" s="2">
        <v>1.4089</v>
      </c>
      <c r="L8" s="2">
        <v>2.0663999999999998</v>
      </c>
      <c r="M8" s="2">
        <v>64.9846</v>
      </c>
      <c r="O8" s="9" t="s">
        <v>40</v>
      </c>
      <c r="P8" s="9" t="s">
        <v>22</v>
      </c>
      <c r="Q8" s="11">
        <f>_xlfn.MAXIFS($I$4:$I$36,$C$4:$C$36,$O8,$D$4:$D$36,$P8)</f>
        <v>15.6112</v>
      </c>
      <c r="R8" s="11">
        <f>_xlfn.MINIFS($I$4:$I$36,$C$4:$C$36,$O8,$D$4:$D$36,$P8)</f>
        <v>15.6112</v>
      </c>
      <c r="S8" s="11">
        <f>_xlfn.MAXIFS($M$4:$M$36,$C$4:$C$36,$O8,$D$4:$D$36,$P8)</f>
        <v>624.03369999999995</v>
      </c>
      <c r="T8" s="11">
        <f>_xlfn.MINIFS($M$4:$M$36,$C$4:$C$36,$O8,$D$4:$D$36,$P8)</f>
        <v>590.33019999999999</v>
      </c>
      <c r="U8" s="11">
        <f>_xlfn.MAXIFS($H$4:$H$36,$C$4:$C$36,$O8,$D$4:$D$36,$P8)</f>
        <v>158.822</v>
      </c>
      <c r="V8" s="11">
        <f>_xlfn.MINIFS($H$4:$H$36,$C$4:$C$36,$O8,$D$4:$D$36,$P8)</f>
        <v>158.822</v>
      </c>
    </row>
    <row r="9" spans="2:22" x14ac:dyDescent="0.3">
      <c r="B9" s="2">
        <v>-1</v>
      </c>
      <c r="C9" s="2" t="s">
        <v>40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69.983699999999999</v>
      </c>
      <c r="I9" s="2">
        <v>5.1077000000000004</v>
      </c>
      <c r="J9" s="2">
        <v>1.0547</v>
      </c>
      <c r="K9" s="2">
        <v>1.4089</v>
      </c>
      <c r="L9" s="2">
        <v>1.6443000000000001</v>
      </c>
      <c r="M9" s="2">
        <v>62.44</v>
      </c>
    </row>
    <row r="10" spans="2:22" x14ac:dyDescent="0.3">
      <c r="B10" s="2">
        <v>-1</v>
      </c>
      <c r="C10" s="2" t="s">
        <v>40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158.822</v>
      </c>
      <c r="I10" s="2">
        <v>15.6112</v>
      </c>
      <c r="J10" s="2">
        <v>0.68500000000000005</v>
      </c>
      <c r="K10" s="2">
        <v>2.0969000000000002</v>
      </c>
      <c r="L10" s="2">
        <v>8.2463999999999995</v>
      </c>
      <c r="M10" s="2">
        <v>624.03369999999995</v>
      </c>
    </row>
    <row r="11" spans="2:22" x14ac:dyDescent="0.3">
      <c r="B11" s="2">
        <v>-1</v>
      </c>
      <c r="C11" s="2" t="s">
        <v>40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158.822</v>
      </c>
      <c r="I11" s="2">
        <v>15.6112</v>
      </c>
      <c r="J11" s="2">
        <v>0.68500000000000005</v>
      </c>
      <c r="K11" s="2">
        <v>2.0969000000000002</v>
      </c>
      <c r="L11" s="2">
        <v>6.7366999999999999</v>
      </c>
      <c r="M11" s="2">
        <v>590.33019999999999</v>
      </c>
    </row>
    <row r="12" spans="2:22" x14ac:dyDescent="0.3">
      <c r="B12" s="2">
        <v>-1</v>
      </c>
      <c r="C12" s="2" t="s">
        <v>40</v>
      </c>
      <c r="D12" s="2" t="s">
        <v>23</v>
      </c>
      <c r="E12" s="2" t="s">
        <v>24</v>
      </c>
      <c r="F12" s="2"/>
      <c r="G12" s="2" t="s">
        <v>16</v>
      </c>
      <c r="H12" s="2">
        <v>-946.79259999999999</v>
      </c>
      <c r="I12" s="2">
        <v>-3.8186</v>
      </c>
      <c r="J12" s="2">
        <v>-0.61299999999999999</v>
      </c>
      <c r="K12" s="2">
        <v>2.5000000000000001E-2</v>
      </c>
      <c r="L12" s="2">
        <v>2.4841000000000002</v>
      </c>
      <c r="M12" s="2">
        <v>-79.9161</v>
      </c>
    </row>
    <row r="13" spans="2:22" x14ac:dyDescent="0.3">
      <c r="B13" s="2">
        <v>-1</v>
      </c>
      <c r="C13" s="2" t="s">
        <v>40</v>
      </c>
      <c r="D13" s="2" t="s">
        <v>23</v>
      </c>
      <c r="E13" s="2" t="s">
        <v>24</v>
      </c>
      <c r="F13" s="2"/>
      <c r="G13" s="2" t="s">
        <v>17</v>
      </c>
      <c r="H13" s="2">
        <v>-963.34889999999996</v>
      </c>
      <c r="I13" s="2">
        <v>-3.8186</v>
      </c>
      <c r="J13" s="2">
        <v>-0.61299999999999999</v>
      </c>
      <c r="K13" s="2">
        <v>2.5000000000000001E-2</v>
      </c>
      <c r="L13" s="2">
        <v>0.89039999999999997</v>
      </c>
      <c r="M13" s="2">
        <v>-89.844499999999996</v>
      </c>
    </row>
    <row r="14" spans="2:22" x14ac:dyDescent="0.3">
      <c r="B14" s="2">
        <v>-1</v>
      </c>
      <c r="C14" s="2" t="s">
        <v>40</v>
      </c>
      <c r="D14" s="2" t="s">
        <v>25</v>
      </c>
      <c r="E14" s="2" t="s">
        <v>24</v>
      </c>
      <c r="F14" s="2"/>
      <c r="G14" s="2" t="s">
        <v>16</v>
      </c>
      <c r="H14" s="2">
        <v>-1080.6686</v>
      </c>
      <c r="I14" s="2">
        <v>-16.837599999999998</v>
      </c>
      <c r="J14" s="2">
        <v>-0.16950000000000001</v>
      </c>
      <c r="K14" s="2">
        <v>-1.0378000000000001</v>
      </c>
      <c r="L14" s="2">
        <v>2.1219000000000001</v>
      </c>
      <c r="M14" s="2">
        <v>-64.037099999999995</v>
      </c>
    </row>
    <row r="15" spans="2:22" x14ac:dyDescent="0.3">
      <c r="B15" s="2">
        <v>-1</v>
      </c>
      <c r="C15" s="2" t="s">
        <v>40</v>
      </c>
      <c r="D15" s="2" t="s">
        <v>25</v>
      </c>
      <c r="E15" s="2" t="s">
        <v>24</v>
      </c>
      <c r="F15" s="2"/>
      <c r="G15" s="2" t="s">
        <v>17</v>
      </c>
      <c r="H15" s="2">
        <v>-1094.8597</v>
      </c>
      <c r="I15" s="2">
        <v>-16.837599999999998</v>
      </c>
      <c r="J15" s="2">
        <v>-0.16950000000000001</v>
      </c>
      <c r="K15" s="2">
        <v>-1.0378000000000001</v>
      </c>
      <c r="L15" s="2">
        <v>1.6812</v>
      </c>
      <c r="M15" s="2">
        <v>-107.81489999999999</v>
      </c>
    </row>
    <row r="16" spans="2:22" x14ac:dyDescent="0.3">
      <c r="B16" s="2">
        <v>-1</v>
      </c>
      <c r="C16" s="2" t="s">
        <v>40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-510.67520000000002</v>
      </c>
      <c r="I16" s="2">
        <v>4.6959999999999997</v>
      </c>
      <c r="J16" s="2">
        <v>1.0825</v>
      </c>
      <c r="K16" s="2">
        <v>1.9884999999999999</v>
      </c>
      <c r="L16" s="2">
        <v>4.4897999999999998</v>
      </c>
      <c r="M16" s="2">
        <v>39.6038</v>
      </c>
    </row>
    <row r="17" spans="2:13" x14ac:dyDescent="0.3">
      <c r="B17" s="2">
        <v>-1</v>
      </c>
      <c r="C17" s="2" t="s">
        <v>40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-521.31859999999995</v>
      </c>
      <c r="I17" s="2">
        <v>4.6959999999999997</v>
      </c>
      <c r="J17" s="2">
        <v>1.0825</v>
      </c>
      <c r="K17" s="2">
        <v>1.9884999999999999</v>
      </c>
      <c r="L17" s="2">
        <v>2.8742999999999999</v>
      </c>
      <c r="M17" s="2">
        <v>29.658899999999999</v>
      </c>
    </row>
    <row r="18" spans="2:13" x14ac:dyDescent="0.3">
      <c r="B18" s="2">
        <v>-1</v>
      </c>
      <c r="C18" s="2" t="s">
        <v>40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-706.62950000000001</v>
      </c>
      <c r="I18" s="2">
        <v>-9.6057000000000006</v>
      </c>
      <c r="J18" s="2">
        <v>-1.8706</v>
      </c>
      <c r="K18" s="2">
        <v>-1.9563999999999999</v>
      </c>
      <c r="L18" s="2">
        <v>-1.296</v>
      </c>
      <c r="M18" s="2">
        <v>-142.35310000000001</v>
      </c>
    </row>
    <row r="19" spans="2:13" x14ac:dyDescent="0.3">
      <c r="B19" s="2">
        <v>-1</v>
      </c>
      <c r="C19" s="2" t="s">
        <v>40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-717.27290000000005</v>
      </c>
      <c r="I19" s="2">
        <v>-9.6057000000000006</v>
      </c>
      <c r="J19" s="2">
        <v>-1.8706</v>
      </c>
      <c r="K19" s="2">
        <v>-1.9563999999999999</v>
      </c>
      <c r="L19" s="2">
        <v>-1.7296</v>
      </c>
      <c r="M19" s="2">
        <v>-145.17320000000001</v>
      </c>
    </row>
    <row r="20" spans="2:13" x14ac:dyDescent="0.3">
      <c r="B20" s="2">
        <v>-1</v>
      </c>
      <c r="C20" s="2" t="s">
        <v>40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-881.76689999999996</v>
      </c>
      <c r="I20" s="2">
        <v>-4.6001000000000003</v>
      </c>
      <c r="J20" s="2">
        <v>1.1736</v>
      </c>
      <c r="K20" s="2">
        <v>1.3318000000000001</v>
      </c>
      <c r="L20" s="2">
        <v>5.0175000000000001</v>
      </c>
      <c r="M20" s="2">
        <v>25.268000000000001</v>
      </c>
    </row>
    <row r="21" spans="2:13" x14ac:dyDescent="0.3">
      <c r="B21" s="2">
        <v>-1</v>
      </c>
      <c r="C21" s="2" t="s">
        <v>40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-895.95799999999997</v>
      </c>
      <c r="I21" s="2">
        <v>-4.6001000000000003</v>
      </c>
      <c r="J21" s="2">
        <v>1.1736</v>
      </c>
      <c r="K21" s="2">
        <v>1.3318000000000001</v>
      </c>
      <c r="L21" s="2">
        <v>3.6389</v>
      </c>
      <c r="M21" s="2">
        <v>-8.8468</v>
      </c>
    </row>
    <row r="22" spans="2:13" x14ac:dyDescent="0.3">
      <c r="B22" s="2">
        <v>-1</v>
      </c>
      <c r="C22" s="2" t="s">
        <v>40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-1077.7212</v>
      </c>
      <c r="I22" s="2">
        <v>-18.901700000000002</v>
      </c>
      <c r="J22" s="2">
        <v>-1.7795000000000001</v>
      </c>
      <c r="K22" s="2">
        <v>-2.613</v>
      </c>
      <c r="L22" s="2">
        <v>-0.76829999999999998</v>
      </c>
      <c r="M22" s="2">
        <v>-156.68899999999999</v>
      </c>
    </row>
    <row r="23" spans="2:13" x14ac:dyDescent="0.3">
      <c r="B23" s="2">
        <v>-1</v>
      </c>
      <c r="C23" s="2" t="s">
        <v>40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-1091.9123999999999</v>
      </c>
      <c r="I23" s="2">
        <v>-18.901700000000002</v>
      </c>
      <c r="J23" s="2">
        <v>-1.7795000000000001</v>
      </c>
      <c r="K23" s="2">
        <v>-2.613</v>
      </c>
      <c r="L23" s="2">
        <v>-0.96499999999999997</v>
      </c>
      <c r="M23" s="2">
        <v>-183.6789</v>
      </c>
    </row>
    <row r="24" spans="2:13" x14ac:dyDescent="0.3">
      <c r="B24" s="2">
        <v>-1</v>
      </c>
      <c r="C24" s="2" t="s">
        <v>40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-757.39329999999995</v>
      </c>
      <c r="I24" s="2">
        <v>10.104799999999999</v>
      </c>
      <c r="J24" s="2">
        <v>0.65600000000000003</v>
      </c>
      <c r="K24" s="2">
        <v>2.2949999999999999</v>
      </c>
      <c r="L24" s="2">
        <v>13.669600000000001</v>
      </c>
      <c r="M24" s="2">
        <v>807.9366</v>
      </c>
    </row>
    <row r="25" spans="2:13" x14ac:dyDescent="0.3">
      <c r="B25" s="2">
        <v>-1</v>
      </c>
      <c r="C25" s="2" t="s">
        <v>40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-771.58439999999996</v>
      </c>
      <c r="I25" s="2">
        <v>10.104799999999999</v>
      </c>
      <c r="J25" s="2">
        <v>0.65600000000000003</v>
      </c>
      <c r="K25" s="2">
        <v>2.2949999999999999</v>
      </c>
      <c r="L25" s="2">
        <v>10.7683</v>
      </c>
      <c r="M25" s="2">
        <v>730.19949999999994</v>
      </c>
    </row>
    <row r="26" spans="2:13" x14ac:dyDescent="0.3">
      <c r="B26" s="2">
        <v>-1</v>
      </c>
      <c r="C26" s="2" t="s">
        <v>40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-1202.0948000000001</v>
      </c>
      <c r="I26" s="2">
        <v>-33.6066</v>
      </c>
      <c r="J26" s="2">
        <v>-1.2619</v>
      </c>
      <c r="K26" s="2">
        <v>-3.5762999999999998</v>
      </c>
      <c r="L26" s="2">
        <v>-9.4202999999999992</v>
      </c>
      <c r="M26" s="2">
        <v>-939.35770000000002</v>
      </c>
    </row>
    <row r="27" spans="2:13" x14ac:dyDescent="0.3">
      <c r="B27" s="2">
        <v>-1</v>
      </c>
      <c r="C27" s="2" t="s">
        <v>40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-1216.2860000000001</v>
      </c>
      <c r="I27" s="2">
        <v>-33.6066</v>
      </c>
      <c r="J27" s="2">
        <v>-1.2619</v>
      </c>
      <c r="K27" s="2">
        <v>-3.5762999999999998</v>
      </c>
      <c r="L27" s="2">
        <v>-8.0945</v>
      </c>
      <c r="M27" s="2">
        <v>-922.72519999999997</v>
      </c>
    </row>
    <row r="28" spans="2:13" x14ac:dyDescent="0.3">
      <c r="B28" s="2">
        <v>-1</v>
      </c>
      <c r="C28" s="2" t="s">
        <v>40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-386.30160000000001</v>
      </c>
      <c r="I28" s="2">
        <v>19.4009</v>
      </c>
      <c r="J28" s="2">
        <v>1.1736</v>
      </c>
      <c r="K28" s="2">
        <v>2.9517000000000002</v>
      </c>
      <c r="L28" s="2">
        <v>13.669600000000001</v>
      </c>
      <c r="M28" s="2">
        <v>822.27250000000004</v>
      </c>
    </row>
    <row r="29" spans="2:13" x14ac:dyDescent="0.3">
      <c r="B29" s="2">
        <v>-1</v>
      </c>
      <c r="C29" s="2" t="s">
        <v>40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-396.94499999999999</v>
      </c>
      <c r="I29" s="2">
        <v>19.4009</v>
      </c>
      <c r="J29" s="2">
        <v>1.1736</v>
      </c>
      <c r="K29" s="2">
        <v>2.9517000000000002</v>
      </c>
      <c r="L29" s="2">
        <v>10.7683</v>
      </c>
      <c r="M29" s="2">
        <v>768.70519999999999</v>
      </c>
    </row>
    <row r="30" spans="2:13" x14ac:dyDescent="0.3">
      <c r="B30" s="2">
        <v>-1</v>
      </c>
      <c r="C30" s="2" t="s">
        <v>40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-1202.0948000000001</v>
      </c>
      <c r="I30" s="2">
        <v>-33.6066</v>
      </c>
      <c r="J30" s="2">
        <v>-1.8706</v>
      </c>
      <c r="K30" s="2">
        <v>-3.5762999999999998</v>
      </c>
      <c r="L30" s="2">
        <v>-9.9481000000000002</v>
      </c>
      <c r="M30" s="2">
        <v>-939.35770000000002</v>
      </c>
    </row>
    <row r="31" spans="2:13" x14ac:dyDescent="0.3">
      <c r="B31" s="2">
        <v>-1</v>
      </c>
      <c r="C31" s="2" t="s">
        <v>40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-1216.2860000000001</v>
      </c>
      <c r="I31" s="2">
        <v>-33.6066</v>
      </c>
      <c r="J31" s="2">
        <v>-1.8706</v>
      </c>
      <c r="K31" s="2">
        <v>-3.5762999999999998</v>
      </c>
      <c r="L31" s="2">
        <v>-8.859</v>
      </c>
      <c r="M31" s="2">
        <v>-922.72519999999997</v>
      </c>
    </row>
    <row r="32" spans="2:13" x14ac:dyDescent="0.3">
      <c r="B32" s="2">
        <v>-1</v>
      </c>
      <c r="C32" s="2" t="s">
        <v>40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-386.30160000000001</v>
      </c>
      <c r="I32" s="2">
        <v>19.4009</v>
      </c>
      <c r="J32" s="2">
        <v>0.56489999999999996</v>
      </c>
      <c r="K32" s="2">
        <v>2.9517000000000002</v>
      </c>
      <c r="L32" s="2">
        <v>13.1419</v>
      </c>
      <c r="M32" s="2">
        <v>822.27250000000004</v>
      </c>
    </row>
    <row r="33" spans="2:13" x14ac:dyDescent="0.3">
      <c r="B33" s="2">
        <v>-1</v>
      </c>
      <c r="C33" s="2" t="s">
        <v>40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-396.94499999999999</v>
      </c>
      <c r="I33" s="2">
        <v>19.4009</v>
      </c>
      <c r="J33" s="2">
        <v>0.56489999999999996</v>
      </c>
      <c r="K33" s="2">
        <v>2.9517000000000002</v>
      </c>
      <c r="L33" s="2">
        <v>10.0038</v>
      </c>
      <c r="M33" s="2">
        <v>768.70519999999999</v>
      </c>
    </row>
    <row r="34" spans="2:13" x14ac:dyDescent="0.3">
      <c r="B34" s="2">
        <v>-1</v>
      </c>
      <c r="C34" s="2" t="s">
        <v>40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-831.00310000000002</v>
      </c>
      <c r="I34" s="2">
        <v>-24.310500000000001</v>
      </c>
      <c r="J34" s="2">
        <v>-1.353</v>
      </c>
      <c r="K34" s="2">
        <v>-2.9196</v>
      </c>
      <c r="L34" s="2">
        <v>-9.9481000000000002</v>
      </c>
      <c r="M34" s="2">
        <v>-925.02179999999998</v>
      </c>
    </row>
    <row r="35" spans="2:13" x14ac:dyDescent="0.3">
      <c r="B35" s="2">
        <v>-1</v>
      </c>
      <c r="C35" s="2" t="s">
        <v>40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-841.64649999999995</v>
      </c>
      <c r="I35" s="2">
        <v>-24.310500000000001</v>
      </c>
      <c r="J35" s="2">
        <v>-1.353</v>
      </c>
      <c r="K35" s="2">
        <v>-2.9196</v>
      </c>
      <c r="L35" s="2">
        <v>-8.859</v>
      </c>
      <c r="M35" s="2">
        <v>-884.21950000000004</v>
      </c>
    </row>
    <row r="36" spans="2:13" x14ac:dyDescent="0.3">
      <c r="B36" s="2">
        <v>-1</v>
      </c>
      <c r="C36" s="2" t="s">
        <v>40</v>
      </c>
      <c r="D36" s="2" t="s">
        <v>32</v>
      </c>
      <c r="E36" s="2" t="s">
        <v>24</v>
      </c>
      <c r="F36" s="2"/>
      <c r="G36" s="2" t="s">
        <v>16</v>
      </c>
      <c r="H36" s="2">
        <v>-844.48800000000006</v>
      </c>
      <c r="I36" s="2">
        <v>-11.205399999999999</v>
      </c>
      <c r="J36" s="2">
        <v>-0.21540000000000001</v>
      </c>
      <c r="K36" s="2">
        <v>-0.64419999999999999</v>
      </c>
      <c r="L36" s="2">
        <v>1.7697000000000001</v>
      </c>
      <c r="M36" s="2">
        <v>-54.293900000000001</v>
      </c>
    </row>
    <row r="37" spans="2:13" x14ac:dyDescent="0.3">
      <c r="B37" s="2">
        <v>-1</v>
      </c>
      <c r="C37" s="2" t="s">
        <v>40</v>
      </c>
      <c r="D37" s="2" t="s">
        <v>32</v>
      </c>
      <c r="E37" s="2" t="s">
        <v>24</v>
      </c>
      <c r="F37" s="2"/>
      <c r="G37" s="2" t="s">
        <v>17</v>
      </c>
      <c r="H37" s="2">
        <v>-856.31389999999999</v>
      </c>
      <c r="I37" s="2">
        <v>-11.205399999999999</v>
      </c>
      <c r="J37" s="2">
        <v>-0.21540000000000001</v>
      </c>
      <c r="K37" s="2">
        <v>-0.64419999999999999</v>
      </c>
      <c r="L37" s="2">
        <v>1.2097</v>
      </c>
      <c r="M37" s="2">
        <v>-83.427899999999994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331D-5EB5-4BCA-B683-EAA7E5FA0207}">
  <dimension ref="B2:V37"/>
  <sheetViews>
    <sheetView workbookViewId="0">
      <selection activeCell="O2" sqref="O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41</v>
      </c>
      <c r="D4" s="2" t="s">
        <v>14</v>
      </c>
      <c r="E4" s="2" t="s">
        <v>15</v>
      </c>
      <c r="F4" s="2"/>
      <c r="G4" s="2" t="s">
        <v>16</v>
      </c>
      <c r="H4" s="2">
        <v>-129.5146</v>
      </c>
      <c r="I4" s="2">
        <v>-2.9777</v>
      </c>
      <c r="J4" s="2">
        <v>-0.32090000000000002</v>
      </c>
      <c r="K4" s="2">
        <v>-5.3800000000000001E-2</v>
      </c>
      <c r="L4" s="2">
        <v>0.52270000000000005</v>
      </c>
      <c r="M4" s="2">
        <v>4.5975999999999999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41</v>
      </c>
      <c r="D5" s="2" t="s">
        <v>14</v>
      </c>
      <c r="E5" s="2" t="s">
        <v>15</v>
      </c>
      <c r="F5" s="2"/>
      <c r="G5" s="2" t="s">
        <v>17</v>
      </c>
      <c r="H5" s="2">
        <v>-133.61150000000001</v>
      </c>
      <c r="I5" s="2">
        <v>-2.9777</v>
      </c>
      <c r="J5" s="2">
        <v>-0.32090000000000002</v>
      </c>
      <c r="K5" s="2">
        <v>-5.3800000000000001E-2</v>
      </c>
      <c r="L5" s="2">
        <v>-0.31169999999999998</v>
      </c>
      <c r="M5" s="2">
        <v>-3.1444999999999999</v>
      </c>
      <c r="O5" s="9" t="s">
        <v>41</v>
      </c>
      <c r="P5" s="9" t="s">
        <v>14</v>
      </c>
      <c r="Q5" s="11">
        <f>_xlfn.MAXIFS($I$4:$I$36,$C$4:$C$36,$O5,$D$4:$D$36,$P5)</f>
        <v>-2.9777</v>
      </c>
      <c r="R5" s="11">
        <f>_xlfn.MINIFS($I$4:$I$36,$C$4:$C$36,$O5,$D$4:$D$36,$P5)</f>
        <v>-2.9777</v>
      </c>
      <c r="S5" s="11">
        <f>_xlfn.MAXIFS($M$4:$M$36,$C$4:$C$36,$O5,$D$4:$D$36,$P5)</f>
        <v>4.5975999999999999</v>
      </c>
      <c r="T5" s="11">
        <f>_xlfn.MINIFS($M$4:$M$36,$C$4:$C$36,$O5,$D$4:$D$36,$P5)</f>
        <v>-3.1444999999999999</v>
      </c>
      <c r="U5" s="11">
        <f>_xlfn.MAXIFS($H$4:$H$36,$C$4:$C$36,$O5,$D$4:$D$36,$P5)</f>
        <v>-129.5146</v>
      </c>
      <c r="V5" s="11">
        <f>_xlfn.MINIFS($H$4:$H$36,$C$4:$C$36,$O5,$D$4:$D$36,$P5)</f>
        <v>-133.61150000000001</v>
      </c>
    </row>
    <row r="6" spans="2:22" x14ac:dyDescent="0.3">
      <c r="B6" s="2">
        <v>-1</v>
      </c>
      <c r="C6" s="2" t="s">
        <v>41</v>
      </c>
      <c r="D6" s="2" t="s">
        <v>18</v>
      </c>
      <c r="E6" s="2" t="s">
        <v>15</v>
      </c>
      <c r="F6" s="2"/>
      <c r="G6" s="2" t="s">
        <v>16</v>
      </c>
      <c r="H6" s="2">
        <v>-33.691099999999999</v>
      </c>
      <c r="I6" s="2">
        <v>-0.16259999999999999</v>
      </c>
      <c r="J6" s="2">
        <v>-0.25359999999999999</v>
      </c>
      <c r="K6" s="2">
        <v>-8.8999999999999999E-3</v>
      </c>
      <c r="L6" s="2">
        <v>0.40579999999999999</v>
      </c>
      <c r="M6" s="2">
        <v>-0.41439999999999999</v>
      </c>
      <c r="O6" s="9" t="s">
        <v>41</v>
      </c>
      <c r="P6" s="9" t="s">
        <v>18</v>
      </c>
      <c r="Q6" s="11">
        <f>_xlfn.MAXIFS($I$4:$I$36,$C$4:$C$36,$O6,$D$4:$D$36,$P6)</f>
        <v>-0.16259999999999999</v>
      </c>
      <c r="R6" s="11">
        <f>_xlfn.MINIFS($I$4:$I$36,$C$4:$C$36,$O6,$D$4:$D$36,$P6)</f>
        <v>-0.16259999999999999</v>
      </c>
      <c r="S6" s="11">
        <f>_xlfn.MAXIFS($M$4:$M$36,$C$4:$C$36,$O6,$D$4:$D$36,$P6)</f>
        <v>-0.41439999999999999</v>
      </c>
      <c r="T6" s="11">
        <f>_xlfn.MINIFS($M$4:$M$36,$C$4:$C$36,$O6,$D$4:$D$36,$P6)</f>
        <v>-0.83709999999999996</v>
      </c>
      <c r="U6" s="11">
        <f>_xlfn.MAXIFS($H$4:$H$36,$C$4:$C$36,$O6,$D$4:$D$36,$P6)</f>
        <v>-33.691099999999999</v>
      </c>
      <c r="V6" s="11">
        <f>_xlfn.MINIFS($H$4:$H$36,$C$4:$C$36,$O6,$D$4:$D$36,$P6)</f>
        <v>-33.691099999999999</v>
      </c>
    </row>
    <row r="7" spans="2:22" x14ac:dyDescent="0.3">
      <c r="B7" s="2">
        <v>-1</v>
      </c>
      <c r="C7" s="2" t="s">
        <v>41</v>
      </c>
      <c r="D7" s="2" t="s">
        <v>18</v>
      </c>
      <c r="E7" s="2" t="s">
        <v>15</v>
      </c>
      <c r="F7" s="2"/>
      <c r="G7" s="2" t="s">
        <v>17</v>
      </c>
      <c r="H7" s="2">
        <v>-33.691099999999999</v>
      </c>
      <c r="I7" s="2">
        <v>-0.16259999999999999</v>
      </c>
      <c r="J7" s="2">
        <v>-0.25359999999999999</v>
      </c>
      <c r="K7" s="2">
        <v>-8.8999999999999999E-3</v>
      </c>
      <c r="L7" s="2">
        <v>-0.25369999999999998</v>
      </c>
      <c r="M7" s="2">
        <v>-0.83709999999999996</v>
      </c>
      <c r="O7" s="9" t="s">
        <v>41</v>
      </c>
      <c r="P7" s="9" t="s">
        <v>19</v>
      </c>
      <c r="Q7" s="11">
        <f>_xlfn.MAXIFS($I$4:$I$36,$C$4:$C$36,$O7,$D$4:$D$36,$P7)</f>
        <v>11.2979</v>
      </c>
      <c r="R7" s="11">
        <f>_xlfn.MINIFS($I$4:$I$36,$C$4:$C$36,$O7,$D$4:$D$36,$P7)</f>
        <v>11.2979</v>
      </c>
      <c r="S7" s="11">
        <f>_xlfn.MAXIFS($M$4:$M$36,$C$4:$C$36,$O7,$D$4:$D$36,$P7)</f>
        <v>51.984099999999998</v>
      </c>
      <c r="T7" s="11">
        <f>_xlfn.MINIFS($M$4:$M$36,$C$4:$C$36,$O7,$D$4:$D$36,$P7)</f>
        <v>31.904900000000001</v>
      </c>
      <c r="U7" s="11">
        <f>_xlfn.MAXIFS($H$4:$H$36,$C$4:$C$36,$O7,$D$4:$D$36,$P7)</f>
        <v>62.8994</v>
      </c>
      <c r="V7" s="11">
        <f>_xlfn.MINIFS($H$4:$H$36,$C$4:$C$36,$O7,$D$4:$D$36,$P7)</f>
        <v>62.8994</v>
      </c>
    </row>
    <row r="8" spans="2:22" x14ac:dyDescent="0.3">
      <c r="B8" s="2">
        <v>-1</v>
      </c>
      <c r="C8" s="2" t="s">
        <v>41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62.8994</v>
      </c>
      <c r="I8" s="2">
        <v>11.2979</v>
      </c>
      <c r="J8" s="2">
        <v>0.24679999999999999</v>
      </c>
      <c r="K8" s="2">
        <v>0.15</v>
      </c>
      <c r="L8" s="2">
        <v>0.39290000000000003</v>
      </c>
      <c r="M8" s="2">
        <v>51.984099999999998</v>
      </c>
      <c r="O8" s="9" t="s">
        <v>41</v>
      </c>
      <c r="P8" s="9" t="s">
        <v>22</v>
      </c>
      <c r="Q8" s="11">
        <f>_xlfn.MAXIFS($I$4:$I$36,$C$4:$C$36,$O8,$D$4:$D$36,$P8)</f>
        <v>5.9105999999999996</v>
      </c>
      <c r="R8" s="11">
        <f>_xlfn.MINIFS($I$4:$I$36,$C$4:$C$36,$O8,$D$4:$D$36,$P8)</f>
        <v>5.9105999999999996</v>
      </c>
      <c r="S8" s="11">
        <f>_xlfn.MAXIFS($M$4:$M$36,$C$4:$C$36,$O8,$D$4:$D$36,$P8)</f>
        <v>15.52</v>
      </c>
      <c r="T8" s="11">
        <f>_xlfn.MINIFS($M$4:$M$36,$C$4:$C$36,$O8,$D$4:$D$36,$P8)</f>
        <v>1.5723</v>
      </c>
      <c r="U8" s="11">
        <f>_xlfn.MAXIFS($H$4:$H$36,$C$4:$C$36,$O8,$D$4:$D$36,$P8)</f>
        <v>29.481200000000001</v>
      </c>
      <c r="V8" s="11">
        <f>_xlfn.MINIFS($H$4:$H$36,$C$4:$C$36,$O8,$D$4:$D$36,$P8)</f>
        <v>29.481200000000001</v>
      </c>
    </row>
    <row r="9" spans="2:22" x14ac:dyDescent="0.3">
      <c r="B9" s="2">
        <v>-1</v>
      </c>
      <c r="C9" s="2" t="s">
        <v>41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62.8994</v>
      </c>
      <c r="I9" s="2">
        <v>11.2979</v>
      </c>
      <c r="J9" s="2">
        <v>0.24679999999999999</v>
      </c>
      <c r="K9" s="2">
        <v>0.15</v>
      </c>
      <c r="L9" s="2">
        <v>0.25390000000000001</v>
      </c>
      <c r="M9" s="2">
        <v>31.904900000000001</v>
      </c>
    </row>
    <row r="10" spans="2:22" x14ac:dyDescent="0.3">
      <c r="B10" s="2">
        <v>-1</v>
      </c>
      <c r="C10" s="2" t="s">
        <v>41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29.481200000000001</v>
      </c>
      <c r="I10" s="2">
        <v>5.9105999999999996</v>
      </c>
      <c r="J10" s="2">
        <v>0.14080000000000001</v>
      </c>
      <c r="K10" s="2">
        <v>0.14180000000000001</v>
      </c>
      <c r="L10" s="2">
        <v>0.1963</v>
      </c>
      <c r="M10" s="2">
        <v>15.52</v>
      </c>
    </row>
    <row r="11" spans="2:22" x14ac:dyDescent="0.3">
      <c r="B11" s="2">
        <v>-1</v>
      </c>
      <c r="C11" s="2" t="s">
        <v>41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29.481200000000001</v>
      </c>
      <c r="I11" s="2">
        <v>5.9105999999999996</v>
      </c>
      <c r="J11" s="2">
        <v>0.14080000000000001</v>
      </c>
      <c r="K11" s="2">
        <v>0.14180000000000001</v>
      </c>
      <c r="L11" s="2">
        <v>0.3206</v>
      </c>
      <c r="M11" s="2">
        <v>1.5723</v>
      </c>
    </row>
    <row r="12" spans="2:22" x14ac:dyDescent="0.3">
      <c r="B12" s="2">
        <v>-1</v>
      </c>
      <c r="C12" s="2" t="s">
        <v>41</v>
      </c>
      <c r="D12" s="2" t="s">
        <v>23</v>
      </c>
      <c r="E12" s="2" t="s">
        <v>24</v>
      </c>
      <c r="F12" s="2"/>
      <c r="G12" s="2" t="s">
        <v>16</v>
      </c>
      <c r="H12" s="2">
        <v>-181.32040000000001</v>
      </c>
      <c r="I12" s="2">
        <v>-4.1688000000000001</v>
      </c>
      <c r="J12" s="2">
        <v>-0.44929999999999998</v>
      </c>
      <c r="K12" s="2">
        <v>-7.5300000000000006E-2</v>
      </c>
      <c r="L12" s="2">
        <v>0.73180000000000001</v>
      </c>
      <c r="M12" s="2">
        <v>6.4366000000000003</v>
      </c>
    </row>
    <row r="13" spans="2:22" x14ac:dyDescent="0.3">
      <c r="B13" s="2">
        <v>-1</v>
      </c>
      <c r="C13" s="2" t="s">
        <v>41</v>
      </c>
      <c r="D13" s="2" t="s">
        <v>23</v>
      </c>
      <c r="E13" s="2" t="s">
        <v>24</v>
      </c>
      <c r="F13" s="2"/>
      <c r="G13" s="2" t="s">
        <v>17</v>
      </c>
      <c r="H13" s="2">
        <v>-187.05609999999999</v>
      </c>
      <c r="I13" s="2">
        <v>-4.1688000000000001</v>
      </c>
      <c r="J13" s="2">
        <v>-0.44929999999999998</v>
      </c>
      <c r="K13" s="2">
        <v>-7.5300000000000006E-2</v>
      </c>
      <c r="L13" s="2">
        <v>-0.43630000000000002</v>
      </c>
      <c r="M13" s="2">
        <v>-4.4023000000000003</v>
      </c>
    </row>
    <row r="14" spans="2:22" x14ac:dyDescent="0.3">
      <c r="B14" s="2">
        <v>-1</v>
      </c>
      <c r="C14" s="2" t="s">
        <v>41</v>
      </c>
      <c r="D14" s="2" t="s">
        <v>25</v>
      </c>
      <c r="E14" s="2" t="s">
        <v>24</v>
      </c>
      <c r="F14" s="2"/>
      <c r="G14" s="2" t="s">
        <v>16</v>
      </c>
      <c r="H14" s="2">
        <v>-209.32329999999999</v>
      </c>
      <c r="I14" s="2">
        <v>-3.8334000000000001</v>
      </c>
      <c r="J14" s="2">
        <v>-0.79090000000000005</v>
      </c>
      <c r="K14" s="2">
        <v>-7.8799999999999995E-2</v>
      </c>
      <c r="L14" s="2">
        <v>1.2765</v>
      </c>
      <c r="M14" s="2">
        <v>4.8540999999999999</v>
      </c>
    </row>
    <row r="15" spans="2:22" x14ac:dyDescent="0.3">
      <c r="B15" s="2">
        <v>-1</v>
      </c>
      <c r="C15" s="2" t="s">
        <v>41</v>
      </c>
      <c r="D15" s="2" t="s">
        <v>25</v>
      </c>
      <c r="E15" s="2" t="s">
        <v>24</v>
      </c>
      <c r="F15" s="2"/>
      <c r="G15" s="2" t="s">
        <v>17</v>
      </c>
      <c r="H15" s="2">
        <v>-214.2396</v>
      </c>
      <c r="I15" s="2">
        <v>-3.8334000000000001</v>
      </c>
      <c r="J15" s="2">
        <v>-0.79090000000000005</v>
      </c>
      <c r="K15" s="2">
        <v>-7.8799999999999995E-2</v>
      </c>
      <c r="L15" s="2">
        <v>-0.77990000000000004</v>
      </c>
      <c r="M15" s="2">
        <v>-5.1128</v>
      </c>
    </row>
    <row r="16" spans="2:22" x14ac:dyDescent="0.3">
      <c r="B16" s="2">
        <v>-1</v>
      </c>
      <c r="C16" s="2" t="s">
        <v>41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-28.504000000000001</v>
      </c>
      <c r="I16" s="2">
        <v>13.137</v>
      </c>
      <c r="J16" s="2">
        <v>5.67E-2</v>
      </c>
      <c r="K16" s="2">
        <v>0.16159999999999999</v>
      </c>
      <c r="L16" s="2">
        <v>1.0205</v>
      </c>
      <c r="M16" s="2">
        <v>76.915499999999994</v>
      </c>
    </row>
    <row r="17" spans="2:13" x14ac:dyDescent="0.3">
      <c r="B17" s="2">
        <v>-1</v>
      </c>
      <c r="C17" s="2" t="s">
        <v>41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-32.191200000000002</v>
      </c>
      <c r="I17" s="2">
        <v>13.137</v>
      </c>
      <c r="J17" s="2">
        <v>5.67E-2</v>
      </c>
      <c r="K17" s="2">
        <v>0.16159999999999999</v>
      </c>
      <c r="L17" s="2">
        <v>7.4999999999999997E-2</v>
      </c>
      <c r="M17" s="2">
        <v>41.836799999999997</v>
      </c>
    </row>
    <row r="18" spans="2:13" x14ac:dyDescent="0.3">
      <c r="B18" s="2">
        <v>-1</v>
      </c>
      <c r="C18" s="2" t="s">
        <v>41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-204.6223</v>
      </c>
      <c r="I18" s="2">
        <v>-18.497</v>
      </c>
      <c r="J18" s="2">
        <v>-0.63429999999999997</v>
      </c>
      <c r="K18" s="2">
        <v>-0.25840000000000002</v>
      </c>
      <c r="L18" s="2">
        <v>-7.9699999999999993E-2</v>
      </c>
      <c r="M18" s="2">
        <v>-68.639899999999997</v>
      </c>
    </row>
    <row r="19" spans="2:13" x14ac:dyDescent="0.3">
      <c r="B19" s="2">
        <v>-1</v>
      </c>
      <c r="C19" s="2" t="s">
        <v>41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-208.30950000000001</v>
      </c>
      <c r="I19" s="2">
        <v>-18.497</v>
      </c>
      <c r="J19" s="2">
        <v>-0.63429999999999997</v>
      </c>
      <c r="K19" s="2">
        <v>-0.25840000000000002</v>
      </c>
      <c r="L19" s="2">
        <v>-0.63590000000000002</v>
      </c>
      <c r="M19" s="2">
        <v>-47.496899999999997</v>
      </c>
    </row>
    <row r="20" spans="2:13" x14ac:dyDescent="0.3">
      <c r="B20" s="2">
        <v>-1</v>
      </c>
      <c r="C20" s="2" t="s">
        <v>41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-101.04940000000001</v>
      </c>
      <c r="I20" s="2">
        <v>12.081099999999999</v>
      </c>
      <c r="J20" s="2">
        <v>-0.29330000000000001</v>
      </c>
      <c r="K20" s="2">
        <v>0.1366</v>
      </c>
      <c r="L20" s="2">
        <v>1.5831</v>
      </c>
      <c r="M20" s="2">
        <v>77.880399999999995</v>
      </c>
    </row>
    <row r="21" spans="2:13" x14ac:dyDescent="0.3">
      <c r="B21" s="2">
        <v>-1</v>
      </c>
      <c r="C21" s="2" t="s">
        <v>41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-105.9657</v>
      </c>
      <c r="I21" s="2">
        <v>12.081099999999999</v>
      </c>
      <c r="J21" s="2">
        <v>-0.29330000000000001</v>
      </c>
      <c r="K21" s="2">
        <v>0.1366</v>
      </c>
      <c r="L21" s="2">
        <v>-0.27229999999999999</v>
      </c>
      <c r="M21" s="2">
        <v>40.0563</v>
      </c>
    </row>
    <row r="22" spans="2:13" x14ac:dyDescent="0.3">
      <c r="B22" s="2">
        <v>-1</v>
      </c>
      <c r="C22" s="2" t="s">
        <v>41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-277.1678</v>
      </c>
      <c r="I22" s="2">
        <v>-19.552900000000001</v>
      </c>
      <c r="J22" s="2">
        <v>-0.98419999999999996</v>
      </c>
      <c r="K22" s="2">
        <v>-0.28349999999999997</v>
      </c>
      <c r="L22" s="2">
        <v>0.4829</v>
      </c>
      <c r="M22" s="2">
        <v>-67.674999999999997</v>
      </c>
    </row>
    <row r="23" spans="2:13" x14ac:dyDescent="0.3">
      <c r="B23" s="2">
        <v>-1</v>
      </c>
      <c r="C23" s="2" t="s">
        <v>41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-282.08409999999998</v>
      </c>
      <c r="I23" s="2">
        <v>-19.552900000000001</v>
      </c>
      <c r="J23" s="2">
        <v>-0.98419999999999996</v>
      </c>
      <c r="K23" s="2">
        <v>-0.28349999999999997</v>
      </c>
      <c r="L23" s="2">
        <v>-0.98319999999999996</v>
      </c>
      <c r="M23" s="2">
        <v>-49.2774</v>
      </c>
    </row>
    <row r="24" spans="2:13" x14ac:dyDescent="0.3">
      <c r="B24" s="2">
        <v>-1</v>
      </c>
      <c r="C24" s="2" t="s">
        <v>41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-147.8349</v>
      </c>
      <c r="I24" s="2">
        <v>4.5388999999999999</v>
      </c>
      <c r="J24" s="2">
        <v>-0.44159999999999999</v>
      </c>
      <c r="K24" s="2">
        <v>0.125</v>
      </c>
      <c r="L24" s="2">
        <v>1.3079000000000001</v>
      </c>
      <c r="M24" s="2">
        <v>26.8308</v>
      </c>
    </row>
    <row r="25" spans="2:13" x14ac:dyDescent="0.3">
      <c r="B25" s="2">
        <v>-1</v>
      </c>
      <c r="C25" s="2" t="s">
        <v>41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-152.75120000000001</v>
      </c>
      <c r="I25" s="2">
        <v>4.5388999999999999</v>
      </c>
      <c r="J25" s="2">
        <v>-0.44159999999999999</v>
      </c>
      <c r="K25" s="2">
        <v>0.125</v>
      </c>
      <c r="L25" s="2">
        <v>-0.1789</v>
      </c>
      <c r="M25" s="2">
        <v>-2.4093</v>
      </c>
    </row>
    <row r="26" spans="2:13" x14ac:dyDescent="0.3">
      <c r="B26" s="2">
        <v>-1</v>
      </c>
      <c r="C26" s="2" t="s">
        <v>41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-230.38229999999999</v>
      </c>
      <c r="I26" s="2">
        <v>-12.0107</v>
      </c>
      <c r="J26" s="2">
        <v>-0.83589999999999998</v>
      </c>
      <c r="K26" s="2">
        <v>-0.27189999999999998</v>
      </c>
      <c r="L26" s="2">
        <v>0.75819999999999999</v>
      </c>
      <c r="M26" s="2">
        <v>-16.625299999999999</v>
      </c>
    </row>
    <row r="27" spans="2:13" x14ac:dyDescent="0.3">
      <c r="B27" s="2">
        <v>-1</v>
      </c>
      <c r="C27" s="2" t="s">
        <v>41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-235.29859999999999</v>
      </c>
      <c r="I27" s="2">
        <v>-12.0107</v>
      </c>
      <c r="J27" s="2">
        <v>-0.83589999999999998</v>
      </c>
      <c r="K27" s="2">
        <v>-0.27189999999999998</v>
      </c>
      <c r="L27" s="2">
        <v>-1.0765</v>
      </c>
      <c r="M27" s="2">
        <v>-6.8117999999999999</v>
      </c>
    </row>
    <row r="28" spans="2:13" x14ac:dyDescent="0.3">
      <c r="B28" s="2">
        <v>-1</v>
      </c>
      <c r="C28" s="2" t="s">
        <v>41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-28.504000000000001</v>
      </c>
      <c r="I28" s="2">
        <v>13.137</v>
      </c>
      <c r="J28" s="2">
        <v>5.67E-2</v>
      </c>
      <c r="K28" s="2">
        <v>0.16159999999999999</v>
      </c>
      <c r="L28" s="2">
        <v>1.5831</v>
      </c>
      <c r="M28" s="2">
        <v>77.880399999999995</v>
      </c>
    </row>
    <row r="29" spans="2:13" x14ac:dyDescent="0.3">
      <c r="B29" s="2">
        <v>-1</v>
      </c>
      <c r="C29" s="2" t="s">
        <v>41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-32.191200000000002</v>
      </c>
      <c r="I29" s="2">
        <v>13.137</v>
      </c>
      <c r="J29" s="2">
        <v>5.67E-2</v>
      </c>
      <c r="K29" s="2">
        <v>0.16159999999999999</v>
      </c>
      <c r="L29" s="2">
        <v>0.16830000000000001</v>
      </c>
      <c r="M29" s="2">
        <v>41.836799999999997</v>
      </c>
    </row>
    <row r="30" spans="2:13" x14ac:dyDescent="0.3">
      <c r="B30" s="2">
        <v>-1</v>
      </c>
      <c r="C30" s="2" t="s">
        <v>41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-277.1678</v>
      </c>
      <c r="I30" s="2">
        <v>-19.552900000000001</v>
      </c>
      <c r="J30" s="2">
        <v>-0.98419999999999996</v>
      </c>
      <c r="K30" s="2">
        <v>-0.28349999999999997</v>
      </c>
      <c r="L30" s="2">
        <v>-7.9699999999999993E-2</v>
      </c>
      <c r="M30" s="2">
        <v>-68.639899999999997</v>
      </c>
    </row>
    <row r="31" spans="2:13" x14ac:dyDescent="0.3">
      <c r="B31" s="2">
        <v>-1</v>
      </c>
      <c r="C31" s="2" t="s">
        <v>41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-282.08409999999998</v>
      </c>
      <c r="I31" s="2">
        <v>-19.552900000000001</v>
      </c>
      <c r="J31" s="2">
        <v>-0.98419999999999996</v>
      </c>
      <c r="K31" s="2">
        <v>-0.28349999999999997</v>
      </c>
      <c r="L31" s="2">
        <v>-1.0765</v>
      </c>
      <c r="M31" s="2">
        <v>-49.2774</v>
      </c>
    </row>
    <row r="32" spans="2:13" x14ac:dyDescent="0.3">
      <c r="B32" s="2">
        <v>-1</v>
      </c>
      <c r="C32" s="2" t="s">
        <v>41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-75.289400000000001</v>
      </c>
      <c r="I32" s="2">
        <v>5.5948000000000002</v>
      </c>
      <c r="J32" s="2">
        <v>-9.1700000000000004E-2</v>
      </c>
      <c r="K32" s="2">
        <v>0.15010000000000001</v>
      </c>
      <c r="L32" s="2">
        <v>0.74529999999999996</v>
      </c>
      <c r="M32" s="2">
        <v>25.8659</v>
      </c>
    </row>
    <row r="33" spans="2:13" x14ac:dyDescent="0.3">
      <c r="B33" s="2">
        <v>-1</v>
      </c>
      <c r="C33" s="2" t="s">
        <v>41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-78.976600000000005</v>
      </c>
      <c r="I33" s="2">
        <v>5.5948000000000002</v>
      </c>
      <c r="J33" s="2">
        <v>-9.1700000000000004E-2</v>
      </c>
      <c r="K33" s="2">
        <v>0.15010000000000001</v>
      </c>
      <c r="L33" s="2">
        <v>0.16830000000000001</v>
      </c>
      <c r="M33" s="2">
        <v>-0.62880000000000003</v>
      </c>
    </row>
    <row r="34" spans="2:13" x14ac:dyDescent="0.3">
      <c r="B34" s="2">
        <v>-1</v>
      </c>
      <c r="C34" s="2" t="s">
        <v>41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-157.83690000000001</v>
      </c>
      <c r="I34" s="2">
        <v>-10.954700000000001</v>
      </c>
      <c r="J34" s="2">
        <v>-0.4859</v>
      </c>
      <c r="K34" s="2">
        <v>-0.24690000000000001</v>
      </c>
      <c r="L34" s="2">
        <v>0.1956</v>
      </c>
      <c r="M34" s="2">
        <v>-17.590199999999999</v>
      </c>
    </row>
    <row r="35" spans="2:13" x14ac:dyDescent="0.3">
      <c r="B35" s="2">
        <v>-1</v>
      </c>
      <c r="C35" s="2" t="s">
        <v>41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-161.5241</v>
      </c>
      <c r="I35" s="2">
        <v>-10.954700000000001</v>
      </c>
      <c r="J35" s="2">
        <v>-0.4859</v>
      </c>
      <c r="K35" s="2">
        <v>-0.24690000000000001</v>
      </c>
      <c r="L35" s="2">
        <v>-0.72929999999999995</v>
      </c>
      <c r="M35" s="2">
        <v>-5.0312999999999999</v>
      </c>
    </row>
    <row r="36" spans="2:13" x14ac:dyDescent="0.3">
      <c r="B36" s="2">
        <v>-1</v>
      </c>
      <c r="C36" s="2" t="s">
        <v>41</v>
      </c>
      <c r="D36" s="2" t="s">
        <v>32</v>
      </c>
      <c r="E36" s="2" t="s">
        <v>24</v>
      </c>
      <c r="F36" s="2"/>
      <c r="G36" s="2" t="s">
        <v>16</v>
      </c>
      <c r="H36" s="2">
        <v>-163.20570000000001</v>
      </c>
      <c r="I36" s="2">
        <v>-3.1402999999999999</v>
      </c>
      <c r="J36" s="2">
        <v>-0.5746</v>
      </c>
      <c r="K36" s="2">
        <v>-6.2700000000000006E-2</v>
      </c>
      <c r="L36" s="2">
        <v>0.92849999999999999</v>
      </c>
      <c r="M36" s="2">
        <v>4.1832000000000003</v>
      </c>
    </row>
    <row r="37" spans="2:13" x14ac:dyDescent="0.3">
      <c r="B37" s="2">
        <v>-1</v>
      </c>
      <c r="C37" s="2" t="s">
        <v>41</v>
      </c>
      <c r="D37" s="2" t="s">
        <v>32</v>
      </c>
      <c r="E37" s="2" t="s">
        <v>24</v>
      </c>
      <c r="F37" s="2"/>
      <c r="G37" s="2" t="s">
        <v>17</v>
      </c>
      <c r="H37" s="2">
        <v>-167.30260000000001</v>
      </c>
      <c r="I37" s="2">
        <v>-3.1402999999999999</v>
      </c>
      <c r="J37" s="2">
        <v>-0.5746</v>
      </c>
      <c r="K37" s="2">
        <v>-6.2700000000000006E-2</v>
      </c>
      <c r="L37" s="2">
        <v>-0.56540000000000001</v>
      </c>
      <c r="M37" s="2">
        <v>-3.9817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E1CA-5D06-45F6-A81C-3E5B854EA55C}">
  <dimension ref="B2:V71"/>
  <sheetViews>
    <sheetView workbookViewId="0">
      <selection activeCell="O2" sqref="O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42</v>
      </c>
      <c r="D4" s="2" t="s">
        <v>14</v>
      </c>
      <c r="E4" s="2" t="s">
        <v>15</v>
      </c>
      <c r="F4" s="2"/>
      <c r="G4" s="2" t="s">
        <v>16</v>
      </c>
      <c r="H4" s="2">
        <v>-455.14830000000001</v>
      </c>
      <c r="I4" s="2">
        <v>8.0745000000000005</v>
      </c>
      <c r="J4" s="2">
        <v>1.1507000000000001</v>
      </c>
      <c r="K4" s="2">
        <v>-1.0367999999999999</v>
      </c>
      <c r="L4" s="2">
        <v>-2.0619000000000001</v>
      </c>
      <c r="M4" s="2">
        <v>-54.773099999999999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42</v>
      </c>
      <c r="D5" s="2" t="s">
        <v>14</v>
      </c>
      <c r="E5" s="2" t="s">
        <v>15</v>
      </c>
      <c r="F5" s="2"/>
      <c r="G5" s="2" t="s">
        <v>17</v>
      </c>
      <c r="H5" s="2">
        <v>-463.59829999999999</v>
      </c>
      <c r="I5" s="2">
        <v>8.0745000000000005</v>
      </c>
      <c r="J5" s="2">
        <v>1.1507000000000001</v>
      </c>
      <c r="K5" s="2">
        <v>-1.0367999999999999</v>
      </c>
      <c r="L5" s="2">
        <v>0.92979999999999996</v>
      </c>
      <c r="M5" s="2">
        <v>-33.779499999999999</v>
      </c>
      <c r="O5" s="9" t="s">
        <v>42</v>
      </c>
      <c r="P5" s="9" t="s">
        <v>14</v>
      </c>
      <c r="Q5" s="11">
        <f t="shared" ref="Q5:Q12" si="0">_xlfn.MAXIFS($I$4:$I$70,$C$4:$C$70,$O5,$D$4:$D$70,$P5)</f>
        <v>8.0745000000000005</v>
      </c>
      <c r="R5" s="11">
        <f t="shared" ref="R5:R12" si="1">_xlfn.MINIFS($I$4:$I$70,$C$4:$C$70,$O5,$D$4:$D$70,$P5)</f>
        <v>8.0745000000000005</v>
      </c>
      <c r="S5" s="11">
        <f t="shared" ref="S5:S12" si="2">_xlfn.MAXIFS($M$4:$M$70,$C$4:$C$70,$O5,$D$4:$D$70,$P5)</f>
        <v>-33.779499999999999</v>
      </c>
      <c r="T5" s="11">
        <f t="shared" ref="T5:T12" si="3">_xlfn.MINIFS($M$4:$M$70,$C$4:$C$70,$O5,$D$4:$D$70,$P5)</f>
        <v>-54.773099999999999</v>
      </c>
      <c r="U5" s="11">
        <f t="shared" ref="U5:U12" si="4">_xlfn.MAXIFS($H$4:$H$70,$C$4:$C$70,$O5,$D$4:$D$70,$P5)</f>
        <v>-455.14830000000001</v>
      </c>
      <c r="V5" s="11">
        <f t="shared" ref="V5:V12" si="5">_xlfn.MINIFS($H$4:$H$70,$C$4:$C$70,$O5,$D$4:$D$70,$P5)</f>
        <v>-463.59829999999999</v>
      </c>
    </row>
    <row r="6" spans="2:22" x14ac:dyDescent="0.3">
      <c r="B6" s="2">
        <v>-1</v>
      </c>
      <c r="C6" s="2" t="s">
        <v>42</v>
      </c>
      <c r="D6" s="2" t="s">
        <v>18</v>
      </c>
      <c r="E6" s="2" t="s">
        <v>15</v>
      </c>
      <c r="F6" s="2"/>
      <c r="G6" s="2" t="s">
        <v>16</v>
      </c>
      <c r="H6" s="2">
        <v>-110.94670000000001</v>
      </c>
      <c r="I6" s="2">
        <v>4.4993999999999996</v>
      </c>
      <c r="J6" s="2">
        <v>0.72899999999999998</v>
      </c>
      <c r="K6" s="2">
        <v>-0.70430000000000004</v>
      </c>
      <c r="L6" s="2">
        <v>-1.3305</v>
      </c>
      <c r="M6" s="2">
        <v>-25.236799999999999</v>
      </c>
      <c r="O6" s="9" t="s">
        <v>42</v>
      </c>
      <c r="P6" s="9" t="s">
        <v>18</v>
      </c>
      <c r="Q6" s="11">
        <f t="shared" si="0"/>
        <v>4.4993999999999996</v>
      </c>
      <c r="R6" s="11">
        <f t="shared" si="1"/>
        <v>4.4993999999999996</v>
      </c>
      <c r="S6" s="11">
        <f t="shared" si="2"/>
        <v>-13.538399999999999</v>
      </c>
      <c r="T6" s="11">
        <f t="shared" si="3"/>
        <v>-25.236799999999999</v>
      </c>
      <c r="U6" s="11">
        <f t="shared" si="4"/>
        <v>-110.94670000000001</v>
      </c>
      <c r="V6" s="11">
        <f t="shared" si="5"/>
        <v>-110.94670000000001</v>
      </c>
    </row>
    <row r="7" spans="2:22" x14ac:dyDescent="0.3">
      <c r="B7" s="2">
        <v>-1</v>
      </c>
      <c r="C7" s="2" t="s">
        <v>42</v>
      </c>
      <c r="D7" s="2" t="s">
        <v>18</v>
      </c>
      <c r="E7" s="2" t="s">
        <v>15</v>
      </c>
      <c r="F7" s="2"/>
      <c r="G7" s="2" t="s">
        <v>17</v>
      </c>
      <c r="H7" s="2">
        <v>-110.94670000000001</v>
      </c>
      <c r="I7" s="2">
        <v>4.4993999999999996</v>
      </c>
      <c r="J7" s="2">
        <v>0.72899999999999998</v>
      </c>
      <c r="K7" s="2">
        <v>-0.70430000000000004</v>
      </c>
      <c r="L7" s="2">
        <v>0.56489999999999996</v>
      </c>
      <c r="M7" s="2">
        <v>-13.538399999999999</v>
      </c>
      <c r="O7" s="9" t="s">
        <v>42</v>
      </c>
      <c r="P7" s="9" t="s">
        <v>19</v>
      </c>
      <c r="Q7" s="11">
        <f t="shared" si="0"/>
        <v>29.2864</v>
      </c>
      <c r="R7" s="11">
        <f t="shared" si="1"/>
        <v>29.2864</v>
      </c>
      <c r="S7" s="11">
        <f t="shared" si="2"/>
        <v>396.78089999999997</v>
      </c>
      <c r="T7" s="11">
        <f t="shared" si="3"/>
        <v>349.58240000000001</v>
      </c>
      <c r="U7" s="11">
        <f t="shared" si="4"/>
        <v>228.26169999999999</v>
      </c>
      <c r="V7" s="11">
        <f t="shared" si="5"/>
        <v>228.26169999999999</v>
      </c>
    </row>
    <row r="8" spans="2:22" x14ac:dyDescent="0.3">
      <c r="B8" s="2">
        <v>-1</v>
      </c>
      <c r="C8" s="2" t="s">
        <v>42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228.26169999999999</v>
      </c>
      <c r="I8" s="2">
        <v>29.2864</v>
      </c>
      <c r="J8" s="2">
        <v>0.46939999999999998</v>
      </c>
      <c r="K8" s="2">
        <v>0.38579999999999998</v>
      </c>
      <c r="L8" s="2">
        <v>0.74029999999999996</v>
      </c>
      <c r="M8" s="2">
        <v>396.78089999999997</v>
      </c>
      <c r="O8" s="9" t="s">
        <v>42</v>
      </c>
      <c r="P8" s="9" t="s">
        <v>22</v>
      </c>
      <c r="Q8" s="11">
        <f t="shared" si="0"/>
        <v>12.005599999999999</v>
      </c>
      <c r="R8" s="11">
        <f t="shared" si="1"/>
        <v>12.005599999999999</v>
      </c>
      <c r="S8" s="11">
        <f t="shared" si="2"/>
        <v>80.848600000000005</v>
      </c>
      <c r="T8" s="11">
        <f t="shared" si="3"/>
        <v>51.892000000000003</v>
      </c>
      <c r="U8" s="11">
        <f t="shared" si="4"/>
        <v>63.952800000000003</v>
      </c>
      <c r="V8" s="11">
        <f t="shared" si="5"/>
        <v>63.952800000000003</v>
      </c>
    </row>
    <row r="9" spans="2:22" x14ac:dyDescent="0.3">
      <c r="B9" s="2">
        <v>-1</v>
      </c>
      <c r="C9" s="2" t="s">
        <v>42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228.26169999999999</v>
      </c>
      <c r="I9" s="2">
        <v>29.2864</v>
      </c>
      <c r="J9" s="2">
        <v>0.46939999999999998</v>
      </c>
      <c r="K9" s="2">
        <v>0.38579999999999998</v>
      </c>
      <c r="L9" s="2">
        <v>0.48409999999999997</v>
      </c>
      <c r="M9" s="2">
        <v>349.58240000000001</v>
      </c>
      <c r="O9" s="9" t="s">
        <v>43</v>
      </c>
      <c r="P9" s="9" t="s">
        <v>14</v>
      </c>
      <c r="Q9" s="11">
        <f t="shared" si="0"/>
        <v>-0.75849999999999995</v>
      </c>
      <c r="R9" s="11">
        <f t="shared" si="1"/>
        <v>-0.75849999999999995</v>
      </c>
      <c r="S9" s="11">
        <f t="shared" si="2"/>
        <v>18.674099999999999</v>
      </c>
      <c r="T9" s="11">
        <f t="shared" si="3"/>
        <v>16.701799999999999</v>
      </c>
      <c r="U9" s="11">
        <f t="shared" si="4"/>
        <v>-745.35619999999994</v>
      </c>
      <c r="V9" s="11">
        <f t="shared" si="5"/>
        <v>-761.55740000000003</v>
      </c>
    </row>
    <row r="10" spans="2:22" x14ac:dyDescent="0.3">
      <c r="B10" s="2">
        <v>-1</v>
      </c>
      <c r="C10" s="2" t="s">
        <v>42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63.952800000000003</v>
      </c>
      <c r="I10" s="2">
        <v>12.005599999999999</v>
      </c>
      <c r="J10" s="2">
        <v>0.1646</v>
      </c>
      <c r="K10" s="2">
        <v>0.31180000000000002</v>
      </c>
      <c r="L10" s="2">
        <v>0.34089999999999998</v>
      </c>
      <c r="M10" s="2">
        <v>80.848600000000005</v>
      </c>
      <c r="O10" s="9" t="s">
        <v>43</v>
      </c>
      <c r="P10" s="9" t="s">
        <v>18</v>
      </c>
      <c r="Q10" s="11">
        <f t="shared" si="0"/>
        <v>-8.6067999999999998</v>
      </c>
      <c r="R10" s="11">
        <f t="shared" si="1"/>
        <v>-8.6067999999999998</v>
      </c>
      <c r="S10" s="11">
        <f t="shared" si="2"/>
        <v>13.863099999999999</v>
      </c>
      <c r="T10" s="11">
        <f t="shared" si="3"/>
        <v>-8.5146999999999995</v>
      </c>
      <c r="U10" s="11">
        <f t="shared" si="4"/>
        <v>-172.85759999999999</v>
      </c>
      <c r="V10" s="11">
        <f t="shared" si="5"/>
        <v>-172.85759999999999</v>
      </c>
    </row>
    <row r="11" spans="2:22" x14ac:dyDescent="0.3">
      <c r="B11" s="2">
        <v>-1</v>
      </c>
      <c r="C11" s="2" t="s">
        <v>42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63.952800000000003</v>
      </c>
      <c r="I11" s="2">
        <v>12.005599999999999</v>
      </c>
      <c r="J11" s="2">
        <v>0.1646</v>
      </c>
      <c r="K11" s="2">
        <v>0.31180000000000002</v>
      </c>
      <c r="L11" s="2">
        <v>0.56720000000000004</v>
      </c>
      <c r="M11" s="2">
        <v>51.892000000000003</v>
      </c>
      <c r="O11" s="9" t="s">
        <v>43</v>
      </c>
      <c r="P11" s="9" t="s">
        <v>19</v>
      </c>
      <c r="Q11" s="11">
        <f t="shared" si="0"/>
        <v>6.5387000000000004</v>
      </c>
      <c r="R11" s="11">
        <f t="shared" si="1"/>
        <v>6.5387000000000004</v>
      </c>
      <c r="S11" s="11">
        <f t="shared" si="2"/>
        <v>163.52869999999999</v>
      </c>
      <c r="T11" s="11">
        <f t="shared" si="3"/>
        <v>159.3021</v>
      </c>
      <c r="U11" s="11">
        <f t="shared" si="4"/>
        <v>327.98840000000001</v>
      </c>
      <c r="V11" s="11">
        <f t="shared" si="5"/>
        <v>327.98840000000001</v>
      </c>
    </row>
    <row r="12" spans="2:22" x14ac:dyDescent="0.3">
      <c r="B12" s="2">
        <v>-1</v>
      </c>
      <c r="C12" s="2" t="s">
        <v>42</v>
      </c>
      <c r="D12" s="2" t="s">
        <v>23</v>
      </c>
      <c r="E12" s="2" t="s">
        <v>24</v>
      </c>
      <c r="F12" s="2"/>
      <c r="G12" s="2" t="s">
        <v>16</v>
      </c>
      <c r="H12" s="2">
        <v>-637.20759999999996</v>
      </c>
      <c r="I12" s="2">
        <v>11.3043</v>
      </c>
      <c r="J12" s="2">
        <v>1.6109</v>
      </c>
      <c r="K12" s="2">
        <v>-1.4515</v>
      </c>
      <c r="L12" s="2">
        <v>-2.8866999999999998</v>
      </c>
      <c r="M12" s="2">
        <v>-76.682400000000001</v>
      </c>
      <c r="O12" s="9" t="s">
        <v>43</v>
      </c>
      <c r="P12" s="9" t="s">
        <v>22</v>
      </c>
      <c r="Q12" s="11">
        <f t="shared" si="0"/>
        <v>19.607299999999999</v>
      </c>
      <c r="R12" s="11">
        <f t="shared" si="1"/>
        <v>19.607299999999999</v>
      </c>
      <c r="S12" s="11">
        <f t="shared" si="2"/>
        <v>122.806</v>
      </c>
      <c r="T12" s="11">
        <f t="shared" si="3"/>
        <v>86.735399999999998</v>
      </c>
      <c r="U12" s="11">
        <f t="shared" si="4"/>
        <v>35.727200000000003</v>
      </c>
      <c r="V12" s="11">
        <f t="shared" si="5"/>
        <v>35.727200000000003</v>
      </c>
    </row>
    <row r="13" spans="2:22" x14ac:dyDescent="0.3">
      <c r="B13" s="2">
        <v>-1</v>
      </c>
      <c r="C13" s="2" t="s">
        <v>42</v>
      </c>
      <c r="D13" s="2" t="s">
        <v>23</v>
      </c>
      <c r="E13" s="2" t="s">
        <v>24</v>
      </c>
      <c r="F13" s="2"/>
      <c r="G13" s="2" t="s">
        <v>17</v>
      </c>
      <c r="H13" s="2">
        <v>-649.0376</v>
      </c>
      <c r="I13" s="2">
        <v>11.3043</v>
      </c>
      <c r="J13" s="2">
        <v>1.6109</v>
      </c>
      <c r="K13" s="2">
        <v>-1.4515</v>
      </c>
      <c r="L13" s="2">
        <v>1.3018000000000001</v>
      </c>
      <c r="M13" s="2">
        <v>-47.2913</v>
      </c>
    </row>
    <row r="14" spans="2:22" x14ac:dyDescent="0.3">
      <c r="B14" s="2">
        <v>-1</v>
      </c>
      <c r="C14" s="2" t="s">
        <v>42</v>
      </c>
      <c r="D14" s="2" t="s">
        <v>25</v>
      </c>
      <c r="E14" s="2" t="s">
        <v>24</v>
      </c>
      <c r="F14" s="2"/>
      <c r="G14" s="2" t="s">
        <v>16</v>
      </c>
      <c r="H14" s="2">
        <v>-723.69259999999997</v>
      </c>
      <c r="I14" s="2">
        <v>16.888400000000001</v>
      </c>
      <c r="J14" s="2">
        <v>2.5472000000000001</v>
      </c>
      <c r="K14" s="2">
        <v>-2.3711000000000002</v>
      </c>
      <c r="L14" s="2">
        <v>-4.6031000000000004</v>
      </c>
      <c r="M14" s="2">
        <v>-106.1067</v>
      </c>
    </row>
    <row r="15" spans="2:22" x14ac:dyDescent="0.3">
      <c r="B15" s="2">
        <v>-1</v>
      </c>
      <c r="C15" s="2" t="s">
        <v>42</v>
      </c>
      <c r="D15" s="2" t="s">
        <v>25</v>
      </c>
      <c r="E15" s="2" t="s">
        <v>24</v>
      </c>
      <c r="F15" s="2"/>
      <c r="G15" s="2" t="s">
        <v>17</v>
      </c>
      <c r="H15" s="2">
        <v>-733.83259999999996</v>
      </c>
      <c r="I15" s="2">
        <v>16.888400000000001</v>
      </c>
      <c r="J15" s="2">
        <v>2.5472000000000001</v>
      </c>
      <c r="K15" s="2">
        <v>-2.3711000000000002</v>
      </c>
      <c r="L15" s="2">
        <v>2.0196000000000001</v>
      </c>
      <c r="M15" s="2">
        <v>-62.1967</v>
      </c>
    </row>
    <row r="16" spans="2:22" x14ac:dyDescent="0.3">
      <c r="B16" s="2">
        <v>-1</v>
      </c>
      <c r="C16" s="2" t="s">
        <v>42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-90.066999999999993</v>
      </c>
      <c r="I16" s="2">
        <v>48.268000000000001</v>
      </c>
      <c r="J16" s="2">
        <v>1.6928000000000001</v>
      </c>
      <c r="K16" s="2">
        <v>-0.39300000000000002</v>
      </c>
      <c r="L16" s="2">
        <v>-0.81930000000000003</v>
      </c>
      <c r="M16" s="2">
        <v>506.19740000000002</v>
      </c>
    </row>
    <row r="17" spans="2:13" x14ac:dyDescent="0.3">
      <c r="B17" s="2">
        <v>-1</v>
      </c>
      <c r="C17" s="2" t="s">
        <v>42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-97.671999999999997</v>
      </c>
      <c r="I17" s="2">
        <v>48.268000000000001</v>
      </c>
      <c r="J17" s="2">
        <v>1.6928000000000001</v>
      </c>
      <c r="K17" s="2">
        <v>-0.39300000000000002</v>
      </c>
      <c r="L17" s="2">
        <v>1.5145999999999999</v>
      </c>
      <c r="M17" s="2">
        <v>459.0138</v>
      </c>
    </row>
    <row r="18" spans="2:13" x14ac:dyDescent="0.3">
      <c r="B18" s="2">
        <v>-1</v>
      </c>
      <c r="C18" s="2" t="s">
        <v>42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-729.19989999999996</v>
      </c>
      <c r="I18" s="2">
        <v>-33.733899999999998</v>
      </c>
      <c r="J18" s="2">
        <v>0.37840000000000001</v>
      </c>
      <c r="K18" s="2">
        <v>-1.4733000000000001</v>
      </c>
      <c r="L18" s="2">
        <v>-2.8921999999999999</v>
      </c>
      <c r="M18" s="2">
        <v>-604.78899999999999</v>
      </c>
    </row>
    <row r="19" spans="2:13" x14ac:dyDescent="0.3">
      <c r="B19" s="2">
        <v>-1</v>
      </c>
      <c r="C19" s="2" t="s">
        <v>42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-736.80489999999998</v>
      </c>
      <c r="I19" s="2">
        <v>-33.733899999999998</v>
      </c>
      <c r="J19" s="2">
        <v>0.37840000000000001</v>
      </c>
      <c r="K19" s="2">
        <v>-1.4733000000000001</v>
      </c>
      <c r="L19" s="2">
        <v>0.159</v>
      </c>
      <c r="M19" s="2">
        <v>-519.81690000000003</v>
      </c>
    </row>
    <row r="20" spans="2:13" x14ac:dyDescent="0.3">
      <c r="B20" s="2">
        <v>-1</v>
      </c>
      <c r="C20" s="2" t="s">
        <v>42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-337.5582</v>
      </c>
      <c r="I20" s="2">
        <v>55.189799999999998</v>
      </c>
      <c r="J20" s="2">
        <v>2.7669999999999999</v>
      </c>
      <c r="K20" s="2">
        <v>-1.4083000000000001</v>
      </c>
      <c r="L20" s="2">
        <v>-2.7683</v>
      </c>
      <c r="M20" s="2">
        <v>464.52859999999998</v>
      </c>
    </row>
    <row r="21" spans="2:13" x14ac:dyDescent="0.3">
      <c r="B21" s="2">
        <v>-1</v>
      </c>
      <c r="C21" s="2" t="s">
        <v>42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-347.69819999999999</v>
      </c>
      <c r="I21" s="2">
        <v>55.189799999999998</v>
      </c>
      <c r="J21" s="2">
        <v>2.7669999999999999</v>
      </c>
      <c r="K21" s="2">
        <v>-1.4083000000000001</v>
      </c>
      <c r="L21" s="2">
        <v>2.3584999999999998</v>
      </c>
      <c r="M21" s="2">
        <v>435.34160000000003</v>
      </c>
    </row>
    <row r="22" spans="2:13" x14ac:dyDescent="0.3">
      <c r="B22" s="2">
        <v>-1</v>
      </c>
      <c r="C22" s="2" t="s">
        <v>42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-976.69110000000001</v>
      </c>
      <c r="I22" s="2">
        <v>-26.812200000000001</v>
      </c>
      <c r="J22" s="2">
        <v>1.4525999999999999</v>
      </c>
      <c r="K22" s="2">
        <v>-2.4885999999999999</v>
      </c>
      <c r="L22" s="2">
        <v>-4.8411999999999997</v>
      </c>
      <c r="M22" s="2">
        <v>-646.45780000000002</v>
      </c>
    </row>
    <row r="23" spans="2:13" x14ac:dyDescent="0.3">
      <c r="B23" s="2">
        <v>-1</v>
      </c>
      <c r="C23" s="2" t="s">
        <v>42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-986.83109999999999</v>
      </c>
      <c r="I23" s="2">
        <v>-26.812200000000001</v>
      </c>
      <c r="J23" s="2">
        <v>1.4525999999999999</v>
      </c>
      <c r="K23" s="2">
        <v>-2.4885999999999999</v>
      </c>
      <c r="L23" s="2">
        <v>1.0028999999999999</v>
      </c>
      <c r="M23" s="2">
        <v>-543.48910000000001</v>
      </c>
    </row>
    <row r="24" spans="2:13" x14ac:dyDescent="0.3">
      <c r="B24" s="2">
        <v>-1</v>
      </c>
      <c r="C24" s="2" t="s">
        <v>42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-567.59069999999997</v>
      </c>
      <c r="I24" s="2">
        <v>30.996600000000001</v>
      </c>
      <c r="J24" s="2">
        <v>2.3401999999999998</v>
      </c>
      <c r="K24" s="2">
        <v>-1.512</v>
      </c>
      <c r="L24" s="2">
        <v>-3.3275999999999999</v>
      </c>
      <c r="M24" s="2">
        <v>22.223400000000002</v>
      </c>
    </row>
    <row r="25" spans="2:13" x14ac:dyDescent="0.3">
      <c r="B25" s="2">
        <v>-1</v>
      </c>
      <c r="C25" s="2" t="s">
        <v>42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-577.73069999999996</v>
      </c>
      <c r="I25" s="2">
        <v>30.996600000000001</v>
      </c>
      <c r="J25" s="2">
        <v>2.3401999999999998</v>
      </c>
      <c r="K25" s="2">
        <v>-1.512</v>
      </c>
      <c r="L25" s="2">
        <v>2.4746999999999999</v>
      </c>
      <c r="M25" s="2">
        <v>18.575099999999999</v>
      </c>
    </row>
    <row r="26" spans="2:13" x14ac:dyDescent="0.3">
      <c r="B26" s="2">
        <v>-1</v>
      </c>
      <c r="C26" s="2" t="s">
        <v>42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-746.65859999999998</v>
      </c>
      <c r="I26" s="2">
        <v>-2.6191</v>
      </c>
      <c r="J26" s="2">
        <v>1.8794</v>
      </c>
      <c r="K26" s="2">
        <v>-2.3849999999999998</v>
      </c>
      <c r="L26" s="2">
        <v>-4.282</v>
      </c>
      <c r="M26" s="2">
        <v>-204.15260000000001</v>
      </c>
    </row>
    <row r="27" spans="2:13" x14ac:dyDescent="0.3">
      <c r="B27" s="2">
        <v>-1</v>
      </c>
      <c r="C27" s="2" t="s">
        <v>42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-756.79859999999996</v>
      </c>
      <c r="I27" s="2">
        <v>-2.6191</v>
      </c>
      <c r="J27" s="2">
        <v>1.8794</v>
      </c>
      <c r="K27" s="2">
        <v>-2.3849999999999998</v>
      </c>
      <c r="L27" s="2">
        <v>0.88660000000000005</v>
      </c>
      <c r="M27" s="2">
        <v>-126.7226</v>
      </c>
    </row>
    <row r="28" spans="2:13" x14ac:dyDescent="0.3">
      <c r="B28" s="2">
        <v>-1</v>
      </c>
      <c r="C28" s="2" t="s">
        <v>42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-90.066999999999993</v>
      </c>
      <c r="I28" s="2">
        <v>55.189799999999998</v>
      </c>
      <c r="J28" s="2">
        <v>2.7669999999999999</v>
      </c>
      <c r="K28" s="2">
        <v>-0.39300000000000002</v>
      </c>
      <c r="L28" s="2">
        <v>-0.81930000000000003</v>
      </c>
      <c r="M28" s="2">
        <v>506.19740000000002</v>
      </c>
    </row>
    <row r="29" spans="2:13" x14ac:dyDescent="0.3">
      <c r="B29" s="2">
        <v>-1</v>
      </c>
      <c r="C29" s="2" t="s">
        <v>42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-97.671999999999997</v>
      </c>
      <c r="I29" s="2">
        <v>55.189799999999998</v>
      </c>
      <c r="J29" s="2">
        <v>2.7669999999999999</v>
      </c>
      <c r="K29" s="2">
        <v>-0.39300000000000002</v>
      </c>
      <c r="L29" s="2">
        <v>2.4746999999999999</v>
      </c>
      <c r="M29" s="2">
        <v>459.0138</v>
      </c>
    </row>
    <row r="30" spans="2:13" x14ac:dyDescent="0.3">
      <c r="B30" s="2">
        <v>-1</v>
      </c>
      <c r="C30" s="2" t="s">
        <v>42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-976.69110000000001</v>
      </c>
      <c r="I30" s="2">
        <v>-33.733899999999998</v>
      </c>
      <c r="J30" s="2">
        <v>0.37840000000000001</v>
      </c>
      <c r="K30" s="2">
        <v>-2.4885999999999999</v>
      </c>
      <c r="L30" s="2">
        <v>-4.8411999999999997</v>
      </c>
      <c r="M30" s="2">
        <v>-646.45780000000002</v>
      </c>
    </row>
    <row r="31" spans="2:13" x14ac:dyDescent="0.3">
      <c r="B31" s="2">
        <v>-1</v>
      </c>
      <c r="C31" s="2" t="s">
        <v>42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-986.83109999999999</v>
      </c>
      <c r="I31" s="2">
        <v>-33.733899999999998</v>
      </c>
      <c r="J31" s="2">
        <v>0.37840000000000001</v>
      </c>
      <c r="K31" s="2">
        <v>-2.4885999999999999</v>
      </c>
      <c r="L31" s="2">
        <v>4.2799999999999998E-2</v>
      </c>
      <c r="M31" s="2">
        <v>-543.48910000000001</v>
      </c>
    </row>
    <row r="32" spans="2:13" x14ac:dyDescent="0.3">
      <c r="B32" s="2">
        <v>-1</v>
      </c>
      <c r="C32" s="2" t="s">
        <v>42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-320.09949999999998</v>
      </c>
      <c r="I32" s="2">
        <v>24.0749</v>
      </c>
      <c r="J32" s="2">
        <v>1.266</v>
      </c>
      <c r="K32" s="2">
        <v>-0.49659999999999999</v>
      </c>
      <c r="L32" s="2">
        <v>-1.3785000000000001</v>
      </c>
      <c r="M32" s="2">
        <v>63.892200000000003</v>
      </c>
    </row>
    <row r="33" spans="2:13" x14ac:dyDescent="0.3">
      <c r="B33" s="2">
        <v>-1</v>
      </c>
      <c r="C33" s="2" t="s">
        <v>42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-327.7045</v>
      </c>
      <c r="I33" s="2">
        <v>24.0749</v>
      </c>
      <c r="J33" s="2">
        <v>1.266</v>
      </c>
      <c r="K33" s="2">
        <v>-0.49659999999999999</v>
      </c>
      <c r="L33" s="2">
        <v>1.6309</v>
      </c>
      <c r="M33" s="2">
        <v>42.247300000000003</v>
      </c>
    </row>
    <row r="34" spans="2:13" x14ac:dyDescent="0.3">
      <c r="B34" s="2">
        <v>-1</v>
      </c>
      <c r="C34" s="2" t="s">
        <v>42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-499.16739999999999</v>
      </c>
      <c r="I34" s="2">
        <v>-9.5408000000000008</v>
      </c>
      <c r="J34" s="2">
        <v>0.80520000000000003</v>
      </c>
      <c r="K34" s="2">
        <v>-1.3695999999999999</v>
      </c>
      <c r="L34" s="2">
        <v>-2.3329</v>
      </c>
      <c r="M34" s="2">
        <v>-162.4838</v>
      </c>
    </row>
    <row r="35" spans="2:13" x14ac:dyDescent="0.3">
      <c r="B35" s="2">
        <v>-1</v>
      </c>
      <c r="C35" s="2" t="s">
        <v>42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-506.7724</v>
      </c>
      <c r="I35" s="2">
        <v>-9.5408000000000008</v>
      </c>
      <c r="J35" s="2">
        <v>0.80520000000000003</v>
      </c>
      <c r="K35" s="2">
        <v>-1.3695999999999999</v>
      </c>
      <c r="L35" s="2">
        <v>4.2799999999999998E-2</v>
      </c>
      <c r="M35" s="2">
        <v>-103.0504</v>
      </c>
    </row>
    <row r="36" spans="2:13" x14ac:dyDescent="0.3">
      <c r="B36" s="2">
        <v>-1</v>
      </c>
      <c r="C36" s="2" t="s">
        <v>42</v>
      </c>
      <c r="D36" s="2" t="s">
        <v>32</v>
      </c>
      <c r="E36" s="2" t="s">
        <v>24</v>
      </c>
      <c r="F36" s="2"/>
      <c r="G36" s="2" t="s">
        <v>16</v>
      </c>
      <c r="H36" s="2">
        <v>-566.09500000000003</v>
      </c>
      <c r="I36" s="2">
        <v>12.5739</v>
      </c>
      <c r="J36" s="2">
        <v>1.8796999999999999</v>
      </c>
      <c r="K36" s="2">
        <v>-1.7411000000000001</v>
      </c>
      <c r="L36" s="2">
        <v>-3.3923999999999999</v>
      </c>
      <c r="M36" s="2">
        <v>-80.010000000000005</v>
      </c>
    </row>
    <row r="37" spans="2:13" x14ac:dyDescent="0.3">
      <c r="B37" s="2">
        <v>-1</v>
      </c>
      <c r="C37" s="2" t="s">
        <v>42</v>
      </c>
      <c r="D37" s="2" t="s">
        <v>32</v>
      </c>
      <c r="E37" s="2" t="s">
        <v>24</v>
      </c>
      <c r="F37" s="2"/>
      <c r="G37" s="2" t="s">
        <v>17</v>
      </c>
      <c r="H37" s="2">
        <v>-574.54499999999996</v>
      </c>
      <c r="I37" s="2">
        <v>12.5739</v>
      </c>
      <c r="J37" s="2">
        <v>1.8796999999999999</v>
      </c>
      <c r="K37" s="2">
        <v>-1.7411000000000001</v>
      </c>
      <c r="L37" s="2">
        <v>1.4946999999999999</v>
      </c>
      <c r="M37" s="2">
        <v>-47.317799999999998</v>
      </c>
    </row>
    <row r="38" spans="2:13" x14ac:dyDescent="0.3">
      <c r="B38" s="2">
        <v>-1</v>
      </c>
      <c r="C38" s="2" t="s">
        <v>43</v>
      </c>
      <c r="D38" s="2" t="s">
        <v>14</v>
      </c>
      <c r="E38" s="2" t="s">
        <v>15</v>
      </c>
      <c r="F38" s="2"/>
      <c r="G38" s="2" t="s">
        <v>16</v>
      </c>
      <c r="H38" s="2">
        <v>-745.35619999999994</v>
      </c>
      <c r="I38" s="2">
        <v>-0.75849999999999995</v>
      </c>
      <c r="J38" s="2">
        <v>-0.60099999999999998</v>
      </c>
      <c r="K38" s="2">
        <v>0.16020000000000001</v>
      </c>
      <c r="L38" s="2">
        <v>1.0940000000000001</v>
      </c>
      <c r="M38" s="2">
        <v>18.674099999999999</v>
      </c>
    </row>
    <row r="39" spans="2:13" x14ac:dyDescent="0.3">
      <c r="B39" s="2">
        <v>-1</v>
      </c>
      <c r="C39" s="2" t="s">
        <v>43</v>
      </c>
      <c r="D39" s="2" t="s">
        <v>14</v>
      </c>
      <c r="E39" s="2" t="s">
        <v>15</v>
      </c>
      <c r="F39" s="2"/>
      <c r="G39" s="2" t="s">
        <v>17</v>
      </c>
      <c r="H39" s="2">
        <v>-761.55740000000003</v>
      </c>
      <c r="I39" s="2">
        <v>-0.75849999999999995</v>
      </c>
      <c r="J39" s="2">
        <v>-0.60099999999999998</v>
      </c>
      <c r="K39" s="2">
        <v>0.16020000000000001</v>
      </c>
      <c r="L39" s="2">
        <v>-0.46850000000000003</v>
      </c>
      <c r="M39" s="2">
        <v>16.701799999999999</v>
      </c>
    </row>
    <row r="40" spans="2:13" x14ac:dyDescent="0.3">
      <c r="B40" s="2">
        <v>-1</v>
      </c>
      <c r="C40" s="2" t="s">
        <v>43</v>
      </c>
      <c r="D40" s="2" t="s">
        <v>18</v>
      </c>
      <c r="E40" s="2" t="s">
        <v>15</v>
      </c>
      <c r="F40" s="2"/>
      <c r="G40" s="2" t="s">
        <v>16</v>
      </c>
      <c r="H40" s="2">
        <v>-172.85759999999999</v>
      </c>
      <c r="I40" s="2">
        <v>-8.6067999999999998</v>
      </c>
      <c r="J40" s="2">
        <v>-0.4304</v>
      </c>
      <c r="K40" s="2">
        <v>0.28060000000000002</v>
      </c>
      <c r="L40" s="2">
        <v>0.74480000000000002</v>
      </c>
      <c r="M40" s="2">
        <v>13.863099999999999</v>
      </c>
    </row>
    <row r="41" spans="2:13" x14ac:dyDescent="0.3">
      <c r="B41" s="2">
        <v>-1</v>
      </c>
      <c r="C41" s="2" t="s">
        <v>43</v>
      </c>
      <c r="D41" s="2" t="s">
        <v>18</v>
      </c>
      <c r="E41" s="2" t="s">
        <v>15</v>
      </c>
      <c r="F41" s="2"/>
      <c r="G41" s="2" t="s">
        <v>17</v>
      </c>
      <c r="H41" s="2">
        <v>-172.85759999999999</v>
      </c>
      <c r="I41" s="2">
        <v>-8.6067999999999998</v>
      </c>
      <c r="J41" s="2">
        <v>-0.4304</v>
      </c>
      <c r="K41" s="2">
        <v>0.28060000000000002</v>
      </c>
      <c r="L41" s="2">
        <v>-0.37419999999999998</v>
      </c>
      <c r="M41" s="2">
        <v>-8.5146999999999995</v>
      </c>
    </row>
    <row r="42" spans="2:13" x14ac:dyDescent="0.3">
      <c r="B42" s="2">
        <v>-1</v>
      </c>
      <c r="C42" s="2" t="s">
        <v>43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327.98840000000001</v>
      </c>
      <c r="I42" s="2">
        <v>6.5387000000000004</v>
      </c>
      <c r="J42" s="2">
        <v>0.48909999999999998</v>
      </c>
      <c r="K42" s="2">
        <v>2.4782000000000002</v>
      </c>
      <c r="L42" s="2">
        <v>1.3936999999999999</v>
      </c>
      <c r="M42" s="2">
        <v>163.52869999999999</v>
      </c>
    </row>
    <row r="43" spans="2:13" x14ac:dyDescent="0.3">
      <c r="B43" s="2">
        <v>-1</v>
      </c>
      <c r="C43" s="2" t="s">
        <v>43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327.98840000000001</v>
      </c>
      <c r="I43" s="2">
        <v>6.5387000000000004</v>
      </c>
      <c r="J43" s="2">
        <v>0.48909999999999998</v>
      </c>
      <c r="K43" s="2">
        <v>2.4782000000000002</v>
      </c>
      <c r="L43" s="2">
        <v>1.6980999999999999</v>
      </c>
      <c r="M43" s="2">
        <v>159.3021</v>
      </c>
    </row>
    <row r="44" spans="2:13" x14ac:dyDescent="0.3">
      <c r="B44" s="2">
        <v>-1</v>
      </c>
      <c r="C44" s="2" t="s">
        <v>43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35.727200000000003</v>
      </c>
      <c r="I44" s="2">
        <v>19.607299999999999</v>
      </c>
      <c r="J44" s="2">
        <v>0.1003</v>
      </c>
      <c r="K44" s="2">
        <v>0.78259999999999996</v>
      </c>
      <c r="L44" s="2">
        <v>0.1089</v>
      </c>
      <c r="M44" s="2">
        <v>122.806</v>
      </c>
    </row>
    <row r="45" spans="2:13" x14ac:dyDescent="0.3">
      <c r="B45" s="2">
        <v>-1</v>
      </c>
      <c r="C45" s="2" t="s">
        <v>43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35.727200000000003</v>
      </c>
      <c r="I45" s="2">
        <v>19.607299999999999</v>
      </c>
      <c r="J45" s="2">
        <v>0.1003</v>
      </c>
      <c r="K45" s="2">
        <v>0.78259999999999996</v>
      </c>
      <c r="L45" s="2">
        <v>0.19009999999999999</v>
      </c>
      <c r="M45" s="2">
        <v>86.735399999999998</v>
      </c>
    </row>
    <row r="46" spans="2:13" x14ac:dyDescent="0.3">
      <c r="B46" s="2">
        <v>-1</v>
      </c>
      <c r="C46" s="2" t="s">
        <v>43</v>
      </c>
      <c r="D46" s="2" t="s">
        <v>23</v>
      </c>
      <c r="E46" s="2" t="s">
        <v>24</v>
      </c>
      <c r="F46" s="2"/>
      <c r="G46" s="2" t="s">
        <v>16</v>
      </c>
      <c r="H46" s="2">
        <v>-1043.4985999999999</v>
      </c>
      <c r="I46" s="2">
        <v>-1.0620000000000001</v>
      </c>
      <c r="J46" s="2">
        <v>-0.84140000000000004</v>
      </c>
      <c r="K46" s="2">
        <v>0.2243</v>
      </c>
      <c r="L46" s="2">
        <v>1.5316000000000001</v>
      </c>
      <c r="M46" s="2">
        <v>26.143699999999999</v>
      </c>
    </row>
    <row r="47" spans="2:13" x14ac:dyDescent="0.3">
      <c r="B47" s="2">
        <v>-1</v>
      </c>
      <c r="C47" s="2" t="s">
        <v>43</v>
      </c>
      <c r="D47" s="2" t="s">
        <v>23</v>
      </c>
      <c r="E47" s="2" t="s">
        <v>24</v>
      </c>
      <c r="F47" s="2"/>
      <c r="G47" s="2" t="s">
        <v>17</v>
      </c>
      <c r="H47" s="2">
        <v>-1066.1804</v>
      </c>
      <c r="I47" s="2">
        <v>-1.0620000000000001</v>
      </c>
      <c r="J47" s="2">
        <v>-0.84140000000000004</v>
      </c>
      <c r="K47" s="2">
        <v>0.2243</v>
      </c>
      <c r="L47" s="2">
        <v>-0.65590000000000004</v>
      </c>
      <c r="M47" s="2">
        <v>23.3826</v>
      </c>
    </row>
    <row r="48" spans="2:13" x14ac:dyDescent="0.3">
      <c r="B48" s="2">
        <v>-1</v>
      </c>
      <c r="C48" s="2" t="s">
        <v>43</v>
      </c>
      <c r="D48" s="2" t="s">
        <v>25</v>
      </c>
      <c r="E48" s="2" t="s">
        <v>24</v>
      </c>
      <c r="F48" s="2"/>
      <c r="G48" s="2" t="s">
        <v>16</v>
      </c>
      <c r="H48" s="2">
        <v>-1170.9996000000001</v>
      </c>
      <c r="I48" s="2">
        <v>-14.6812</v>
      </c>
      <c r="J48" s="2">
        <v>-1.4097999999999999</v>
      </c>
      <c r="K48" s="2">
        <v>0.6411</v>
      </c>
      <c r="L48" s="2">
        <v>2.5045000000000002</v>
      </c>
      <c r="M48" s="2">
        <v>44.5899</v>
      </c>
    </row>
    <row r="49" spans="2:13" x14ac:dyDescent="0.3">
      <c r="B49" s="2">
        <v>-1</v>
      </c>
      <c r="C49" s="2" t="s">
        <v>43</v>
      </c>
      <c r="D49" s="2" t="s">
        <v>25</v>
      </c>
      <c r="E49" s="2" t="s">
        <v>24</v>
      </c>
      <c r="F49" s="2"/>
      <c r="G49" s="2" t="s">
        <v>17</v>
      </c>
      <c r="H49" s="2">
        <v>-1190.4411</v>
      </c>
      <c r="I49" s="2">
        <v>-14.6812</v>
      </c>
      <c r="J49" s="2">
        <v>-1.4097999999999999</v>
      </c>
      <c r="K49" s="2">
        <v>0.6411</v>
      </c>
      <c r="L49" s="2">
        <v>-1.1609</v>
      </c>
      <c r="M49" s="2">
        <v>6.4188000000000001</v>
      </c>
    </row>
    <row r="50" spans="2:13" x14ac:dyDescent="0.3">
      <c r="B50" s="2">
        <v>-1</v>
      </c>
      <c r="C50" s="2" t="s">
        <v>43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-211.63669999999999</v>
      </c>
      <c r="I50" s="2">
        <v>8.4716000000000005</v>
      </c>
      <c r="J50" s="2">
        <v>0.1439</v>
      </c>
      <c r="K50" s="2">
        <v>3.6137000000000001</v>
      </c>
      <c r="L50" s="2">
        <v>2.9359000000000002</v>
      </c>
      <c r="M50" s="2">
        <v>245.74690000000001</v>
      </c>
    </row>
    <row r="51" spans="2:13" x14ac:dyDescent="0.3">
      <c r="B51" s="2">
        <v>-1</v>
      </c>
      <c r="C51" s="2" t="s">
        <v>43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-226.21780000000001</v>
      </c>
      <c r="I51" s="2">
        <v>8.4716000000000005</v>
      </c>
      <c r="J51" s="2">
        <v>0.1439</v>
      </c>
      <c r="K51" s="2">
        <v>3.6137000000000001</v>
      </c>
      <c r="L51" s="2">
        <v>1.9557</v>
      </c>
      <c r="M51" s="2">
        <v>238.05459999999999</v>
      </c>
    </row>
    <row r="52" spans="2:13" x14ac:dyDescent="0.3">
      <c r="B52" s="2">
        <v>-1</v>
      </c>
      <c r="C52" s="2" t="s">
        <v>43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-1130.0044</v>
      </c>
      <c r="I52" s="2">
        <v>-9.8369</v>
      </c>
      <c r="J52" s="2">
        <v>-1.2257</v>
      </c>
      <c r="K52" s="2">
        <v>-3.3252999999999999</v>
      </c>
      <c r="L52" s="2">
        <v>-0.96660000000000001</v>
      </c>
      <c r="M52" s="2">
        <v>-212.1336</v>
      </c>
    </row>
    <row r="53" spans="2:13" x14ac:dyDescent="0.3">
      <c r="B53" s="2">
        <v>-1</v>
      </c>
      <c r="C53" s="2" t="s">
        <v>43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-1144.5854999999999</v>
      </c>
      <c r="I53" s="2">
        <v>-9.8369</v>
      </c>
      <c r="J53" s="2">
        <v>-1.2257</v>
      </c>
      <c r="K53" s="2">
        <v>-3.3252999999999999</v>
      </c>
      <c r="L53" s="2">
        <v>-2.7989999999999999</v>
      </c>
      <c r="M53" s="2">
        <v>-207.9913</v>
      </c>
    </row>
    <row r="54" spans="2:13" x14ac:dyDescent="0.3">
      <c r="B54" s="2">
        <v>-1</v>
      </c>
      <c r="C54" s="2" t="s">
        <v>43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-608.10119999999995</v>
      </c>
      <c r="I54" s="2">
        <v>-0.36280000000000001</v>
      </c>
      <c r="J54" s="2">
        <v>-0.46679999999999999</v>
      </c>
      <c r="K54" s="2">
        <v>3.9422999999999999</v>
      </c>
      <c r="L54" s="2">
        <v>4.0088999999999997</v>
      </c>
      <c r="M54" s="2">
        <v>265.2122</v>
      </c>
    </row>
    <row r="55" spans="2:13" x14ac:dyDescent="0.3">
      <c r="B55" s="2">
        <v>-1</v>
      </c>
      <c r="C55" s="2" t="s">
        <v>43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-627.54269999999997</v>
      </c>
      <c r="I55" s="2">
        <v>-0.36280000000000001</v>
      </c>
      <c r="J55" s="2">
        <v>-0.46679999999999999</v>
      </c>
      <c r="K55" s="2">
        <v>3.9422999999999999</v>
      </c>
      <c r="L55" s="2">
        <v>1.4409000000000001</v>
      </c>
      <c r="M55" s="2">
        <v>234.5505</v>
      </c>
    </row>
    <row r="56" spans="2:13" x14ac:dyDescent="0.3">
      <c r="B56" s="2">
        <v>-1</v>
      </c>
      <c r="C56" s="2" t="s">
        <v>43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-1526.4688000000001</v>
      </c>
      <c r="I56" s="2">
        <v>-18.671299999999999</v>
      </c>
      <c r="J56" s="2">
        <v>-1.8363</v>
      </c>
      <c r="K56" s="2">
        <v>-2.9967000000000001</v>
      </c>
      <c r="L56" s="2">
        <v>0.10639999999999999</v>
      </c>
      <c r="M56" s="2">
        <v>-192.66820000000001</v>
      </c>
    </row>
    <row r="57" spans="2:13" x14ac:dyDescent="0.3">
      <c r="B57" s="2">
        <v>-1</v>
      </c>
      <c r="C57" s="2" t="s">
        <v>43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-1545.9103</v>
      </c>
      <c r="I57" s="2">
        <v>-18.671299999999999</v>
      </c>
      <c r="J57" s="2">
        <v>-1.8363</v>
      </c>
      <c r="K57" s="2">
        <v>-2.9967000000000001</v>
      </c>
      <c r="L57" s="2">
        <v>-3.3138000000000001</v>
      </c>
      <c r="M57" s="2">
        <v>-211.49539999999999</v>
      </c>
    </row>
    <row r="58" spans="2:13" x14ac:dyDescent="0.3">
      <c r="B58" s="2">
        <v>-1</v>
      </c>
      <c r="C58" s="2" t="s">
        <v>43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-1017.2670000000001</v>
      </c>
      <c r="I58" s="2">
        <v>17.933199999999999</v>
      </c>
      <c r="J58" s="2">
        <v>-1.0112000000000001</v>
      </c>
      <c r="K58" s="2">
        <v>1.5685</v>
      </c>
      <c r="L58" s="2">
        <v>2.2101000000000002</v>
      </c>
      <c r="M58" s="2">
        <v>208.2004</v>
      </c>
    </row>
    <row r="59" spans="2:13" x14ac:dyDescent="0.3">
      <c r="B59" s="2">
        <v>-1</v>
      </c>
      <c r="C59" s="2" t="s">
        <v>43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-1036.7085</v>
      </c>
      <c r="I59" s="2">
        <v>17.933199999999999</v>
      </c>
      <c r="J59" s="2">
        <v>-1.0112000000000001</v>
      </c>
      <c r="K59" s="2">
        <v>1.5685</v>
      </c>
      <c r="L59" s="2">
        <v>-0.67020000000000002</v>
      </c>
      <c r="M59" s="2">
        <v>132.9572</v>
      </c>
    </row>
    <row r="60" spans="2:13" x14ac:dyDescent="0.3">
      <c r="B60" s="2">
        <v>-1</v>
      </c>
      <c r="C60" s="2" t="s">
        <v>43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-1117.3030000000001</v>
      </c>
      <c r="I60" s="2">
        <v>-36.967300000000002</v>
      </c>
      <c r="J60" s="2">
        <v>-1.2919</v>
      </c>
      <c r="K60" s="2">
        <v>-0.62290000000000001</v>
      </c>
      <c r="L60" s="2">
        <v>1.9051</v>
      </c>
      <c r="M60" s="2">
        <v>-135.65639999999999</v>
      </c>
    </row>
    <row r="61" spans="2:13" x14ac:dyDescent="0.3">
      <c r="B61" s="2">
        <v>-1</v>
      </c>
      <c r="C61" s="2" t="s">
        <v>43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-1136.7445</v>
      </c>
      <c r="I61" s="2">
        <v>-36.967300000000002</v>
      </c>
      <c r="J61" s="2">
        <v>-1.2919</v>
      </c>
      <c r="K61" s="2">
        <v>-0.62290000000000001</v>
      </c>
      <c r="L61" s="2">
        <v>-1.2025999999999999</v>
      </c>
      <c r="M61" s="2">
        <v>-109.9021</v>
      </c>
    </row>
    <row r="62" spans="2:13" x14ac:dyDescent="0.3">
      <c r="B62" s="2">
        <v>-1</v>
      </c>
      <c r="C62" s="2" t="s">
        <v>43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-211.63669999999999</v>
      </c>
      <c r="I62" s="2">
        <v>26.767600000000002</v>
      </c>
      <c r="J62" s="2">
        <v>0.1439</v>
      </c>
      <c r="K62" s="2">
        <v>3.9422999999999999</v>
      </c>
      <c r="L62" s="2">
        <v>4.0088999999999997</v>
      </c>
      <c r="M62" s="2">
        <v>265.2122</v>
      </c>
    </row>
    <row r="63" spans="2:13" x14ac:dyDescent="0.3">
      <c r="B63" s="2">
        <v>-1</v>
      </c>
      <c r="C63" s="2" t="s">
        <v>43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-226.21780000000001</v>
      </c>
      <c r="I63" s="2">
        <v>26.767600000000002</v>
      </c>
      <c r="J63" s="2">
        <v>0.1439</v>
      </c>
      <c r="K63" s="2">
        <v>3.9422999999999999</v>
      </c>
      <c r="L63" s="2">
        <v>1.9557</v>
      </c>
      <c r="M63" s="2">
        <v>238.05459999999999</v>
      </c>
    </row>
    <row r="64" spans="2:13" x14ac:dyDescent="0.3">
      <c r="B64" s="2">
        <v>-1</v>
      </c>
      <c r="C64" s="2" t="s">
        <v>43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-1526.4688000000001</v>
      </c>
      <c r="I64" s="2">
        <v>-36.967300000000002</v>
      </c>
      <c r="J64" s="2">
        <v>-1.8363</v>
      </c>
      <c r="K64" s="2">
        <v>-3.3252999999999999</v>
      </c>
      <c r="L64" s="2">
        <v>-0.96660000000000001</v>
      </c>
      <c r="M64" s="2">
        <v>-212.1336</v>
      </c>
    </row>
    <row r="65" spans="2:13" x14ac:dyDescent="0.3">
      <c r="B65" s="2">
        <v>-1</v>
      </c>
      <c r="C65" s="2" t="s">
        <v>43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-1545.9103</v>
      </c>
      <c r="I65" s="2">
        <v>-36.967300000000002</v>
      </c>
      <c r="J65" s="2">
        <v>-1.8363</v>
      </c>
      <c r="K65" s="2">
        <v>-3.3252999999999999</v>
      </c>
      <c r="L65" s="2">
        <v>-3.3138000000000001</v>
      </c>
      <c r="M65" s="2">
        <v>-211.49539999999999</v>
      </c>
    </row>
    <row r="66" spans="2:13" x14ac:dyDescent="0.3">
      <c r="B66" s="2">
        <v>-1</v>
      </c>
      <c r="C66" s="2" t="s">
        <v>43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-620.80250000000001</v>
      </c>
      <c r="I66" s="2">
        <v>26.767600000000002</v>
      </c>
      <c r="J66" s="2">
        <v>-0.40050000000000002</v>
      </c>
      <c r="K66" s="2">
        <v>1.2399</v>
      </c>
      <c r="L66" s="2">
        <v>1.1371</v>
      </c>
      <c r="M66" s="2">
        <v>188.73500000000001</v>
      </c>
    </row>
    <row r="67" spans="2:13" x14ac:dyDescent="0.3">
      <c r="B67" s="2">
        <v>-1</v>
      </c>
      <c r="C67" s="2" t="s">
        <v>43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-635.3836</v>
      </c>
      <c r="I67" s="2">
        <v>26.767600000000002</v>
      </c>
      <c r="J67" s="2">
        <v>-0.40050000000000002</v>
      </c>
      <c r="K67" s="2">
        <v>1.2399</v>
      </c>
      <c r="L67" s="2">
        <v>-0.1555</v>
      </c>
      <c r="M67" s="2">
        <v>136.46129999999999</v>
      </c>
    </row>
    <row r="68" spans="2:13" x14ac:dyDescent="0.3">
      <c r="B68" s="2">
        <v>-1</v>
      </c>
      <c r="C68" s="2" t="s">
        <v>43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-720.83860000000004</v>
      </c>
      <c r="I68" s="2">
        <v>-28.132899999999999</v>
      </c>
      <c r="J68" s="2">
        <v>-0.68120000000000003</v>
      </c>
      <c r="K68" s="2">
        <v>-0.95150000000000001</v>
      </c>
      <c r="L68" s="2">
        <v>0.83209999999999995</v>
      </c>
      <c r="M68" s="2">
        <v>-155.1217</v>
      </c>
    </row>
    <row r="69" spans="2:13" x14ac:dyDescent="0.3">
      <c r="B69" s="2">
        <v>-1</v>
      </c>
      <c r="C69" s="2" t="s">
        <v>43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-735.41970000000003</v>
      </c>
      <c r="I69" s="2">
        <v>-28.132899999999999</v>
      </c>
      <c r="J69" s="2">
        <v>-0.68120000000000003</v>
      </c>
      <c r="K69" s="2">
        <v>-0.95150000000000001</v>
      </c>
      <c r="L69" s="2">
        <v>-0.68789999999999996</v>
      </c>
      <c r="M69" s="2">
        <v>-106.398</v>
      </c>
    </row>
    <row r="70" spans="2:13" x14ac:dyDescent="0.3">
      <c r="B70" s="2">
        <v>-1</v>
      </c>
      <c r="C70" s="2" t="s">
        <v>43</v>
      </c>
      <c r="D70" s="2" t="s">
        <v>32</v>
      </c>
      <c r="E70" s="2" t="s">
        <v>24</v>
      </c>
      <c r="F70" s="2"/>
      <c r="G70" s="2" t="s">
        <v>16</v>
      </c>
      <c r="H70" s="2">
        <v>-918.21379999999999</v>
      </c>
      <c r="I70" s="2">
        <v>-9.3653999999999993</v>
      </c>
      <c r="J70" s="2">
        <v>-1.0314000000000001</v>
      </c>
      <c r="K70" s="2">
        <v>0.44080000000000003</v>
      </c>
      <c r="L70" s="2">
        <v>1.8388</v>
      </c>
      <c r="M70" s="2">
        <v>32.537199999999999</v>
      </c>
    </row>
    <row r="71" spans="2:13" x14ac:dyDescent="0.3">
      <c r="B71" s="2">
        <v>-1</v>
      </c>
      <c r="C71" s="2" t="s">
        <v>43</v>
      </c>
      <c r="D71" s="2" t="s">
        <v>32</v>
      </c>
      <c r="E71" s="2" t="s">
        <v>24</v>
      </c>
      <c r="F71" s="2"/>
      <c r="G71" s="2" t="s">
        <v>17</v>
      </c>
      <c r="H71" s="2">
        <v>-934.41499999999996</v>
      </c>
      <c r="I71" s="2">
        <v>-9.3653999999999993</v>
      </c>
      <c r="J71" s="2">
        <v>-1.0314000000000001</v>
      </c>
      <c r="K71" s="2">
        <v>0.44080000000000003</v>
      </c>
      <c r="L71" s="2">
        <v>-0.8427</v>
      </c>
      <c r="M71" s="2">
        <v>8.1872000000000007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BF7E-5EC7-4998-A8CD-800CC47DA896}">
  <dimension ref="B2:V71"/>
  <sheetViews>
    <sheetView workbookViewId="0">
      <selection activeCell="O2" sqref="O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44</v>
      </c>
      <c r="D4" s="2" t="s">
        <v>14</v>
      </c>
      <c r="E4" s="2" t="s">
        <v>15</v>
      </c>
      <c r="F4" s="2"/>
      <c r="G4" s="2" t="s">
        <v>16</v>
      </c>
      <c r="H4" s="2">
        <v>-471.52390000000003</v>
      </c>
      <c r="I4" s="2">
        <v>-12.2362</v>
      </c>
      <c r="J4" s="2">
        <v>0.36730000000000002</v>
      </c>
      <c r="K4" s="2">
        <v>0.38829999999999998</v>
      </c>
      <c r="L4" s="2">
        <v>-0.69910000000000005</v>
      </c>
      <c r="M4" s="2">
        <v>56.398699999999998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44</v>
      </c>
      <c r="D5" s="2" t="s">
        <v>14</v>
      </c>
      <c r="E5" s="2" t="s">
        <v>15</v>
      </c>
      <c r="F5" s="2"/>
      <c r="G5" s="2" t="s">
        <v>17</v>
      </c>
      <c r="H5" s="2">
        <v>-480.55590000000001</v>
      </c>
      <c r="I5" s="2">
        <v>-12.2362</v>
      </c>
      <c r="J5" s="2">
        <v>0.36730000000000002</v>
      </c>
      <c r="K5" s="2">
        <v>0.38829999999999998</v>
      </c>
      <c r="L5" s="2">
        <v>0.25600000000000001</v>
      </c>
      <c r="M5" s="2">
        <v>24.584499999999998</v>
      </c>
      <c r="O5" s="9" t="s">
        <v>44</v>
      </c>
      <c r="P5" s="9" t="s">
        <v>14</v>
      </c>
      <c r="Q5" s="11">
        <f t="shared" ref="Q5:Q12" si="0">_xlfn.MAXIFS($I$4:$I$70,$C$4:$C$70,$O5,$D$4:$D$70,$P5)</f>
        <v>-12.2362</v>
      </c>
      <c r="R5" s="11">
        <f t="shared" ref="R5:R12" si="1">_xlfn.MINIFS($I$4:$I$70,$C$4:$C$70,$O5,$D$4:$D$70,$P5)</f>
        <v>-12.2362</v>
      </c>
      <c r="S5" s="11">
        <f t="shared" ref="S5:S12" si="2">_xlfn.MAXIFS($M$4:$M$70,$C$4:$C$70,$O5,$D$4:$D$70,$P5)</f>
        <v>56.398699999999998</v>
      </c>
      <c r="T5" s="11">
        <f t="shared" ref="T5:T12" si="3">_xlfn.MINIFS($M$4:$M$70,$C$4:$C$70,$O5,$D$4:$D$70,$P5)</f>
        <v>24.584499999999998</v>
      </c>
      <c r="U5" s="11">
        <f t="shared" ref="U5:U12" si="4">_xlfn.MAXIFS($H$4:$H$70,$C$4:$C$70,$O5,$D$4:$D$70,$P5)</f>
        <v>-471.52390000000003</v>
      </c>
      <c r="V5" s="11">
        <f t="shared" ref="V5:V12" si="5">_xlfn.MINIFS($H$4:$H$70,$C$4:$C$70,$O5,$D$4:$D$70,$P5)</f>
        <v>-480.55590000000001</v>
      </c>
    </row>
    <row r="6" spans="2:22" x14ac:dyDescent="0.3">
      <c r="B6" s="2">
        <v>-1</v>
      </c>
      <c r="C6" s="2" t="s">
        <v>44</v>
      </c>
      <c r="D6" s="2" t="s">
        <v>18</v>
      </c>
      <c r="E6" s="2" t="s">
        <v>15</v>
      </c>
      <c r="F6" s="2"/>
      <c r="G6" s="2" t="s">
        <v>16</v>
      </c>
      <c r="H6" s="2">
        <v>-110.56910000000001</v>
      </c>
      <c r="I6" s="2">
        <v>-3.9706999999999999</v>
      </c>
      <c r="J6" s="2">
        <v>0.15509999999999999</v>
      </c>
      <c r="K6" s="2">
        <v>0.23780000000000001</v>
      </c>
      <c r="L6" s="2">
        <v>-0.32379999999999998</v>
      </c>
      <c r="M6" s="2">
        <v>17.141300000000001</v>
      </c>
      <c r="O6" s="9" t="s">
        <v>44</v>
      </c>
      <c r="P6" s="9" t="s">
        <v>18</v>
      </c>
      <c r="Q6" s="11">
        <f t="shared" si="0"/>
        <v>-3.9706999999999999</v>
      </c>
      <c r="R6" s="11">
        <f t="shared" si="1"/>
        <v>-3.9706999999999999</v>
      </c>
      <c r="S6" s="11">
        <f t="shared" si="2"/>
        <v>17.141300000000001</v>
      </c>
      <c r="T6" s="11">
        <f t="shared" si="3"/>
        <v>6.8174000000000001</v>
      </c>
      <c r="U6" s="11">
        <f t="shared" si="4"/>
        <v>-110.56910000000001</v>
      </c>
      <c r="V6" s="11">
        <f t="shared" si="5"/>
        <v>-110.56910000000001</v>
      </c>
    </row>
    <row r="7" spans="2:22" x14ac:dyDescent="0.3">
      <c r="B7" s="2">
        <v>-1</v>
      </c>
      <c r="C7" s="2" t="s">
        <v>44</v>
      </c>
      <c r="D7" s="2" t="s">
        <v>18</v>
      </c>
      <c r="E7" s="2" t="s">
        <v>15</v>
      </c>
      <c r="F7" s="2"/>
      <c r="G7" s="2" t="s">
        <v>17</v>
      </c>
      <c r="H7" s="2">
        <v>-110.56910000000001</v>
      </c>
      <c r="I7" s="2">
        <v>-3.9706999999999999</v>
      </c>
      <c r="J7" s="2">
        <v>0.15509999999999999</v>
      </c>
      <c r="K7" s="2">
        <v>0.23780000000000001</v>
      </c>
      <c r="L7" s="2">
        <v>7.9600000000000004E-2</v>
      </c>
      <c r="M7" s="2">
        <v>6.8174000000000001</v>
      </c>
      <c r="O7" s="9" t="s">
        <v>44</v>
      </c>
      <c r="P7" s="9" t="s">
        <v>19</v>
      </c>
      <c r="Q7" s="11">
        <f t="shared" si="0"/>
        <v>30.9407</v>
      </c>
      <c r="R7" s="11">
        <f t="shared" si="1"/>
        <v>30.9407</v>
      </c>
      <c r="S7" s="11">
        <f t="shared" si="2"/>
        <v>466.8184</v>
      </c>
      <c r="T7" s="11">
        <f t="shared" si="3"/>
        <v>421.20310000000001</v>
      </c>
      <c r="U7" s="11">
        <f t="shared" si="4"/>
        <v>179.72069999999999</v>
      </c>
      <c r="V7" s="11">
        <f t="shared" si="5"/>
        <v>179.72069999999999</v>
      </c>
    </row>
    <row r="8" spans="2:22" x14ac:dyDescent="0.3">
      <c r="B8" s="2">
        <v>-1</v>
      </c>
      <c r="C8" s="2" t="s">
        <v>44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179.72069999999999</v>
      </c>
      <c r="I8" s="2">
        <v>30.9407</v>
      </c>
      <c r="J8" s="2">
        <v>0.15390000000000001</v>
      </c>
      <c r="K8" s="2">
        <v>8.1900000000000001E-2</v>
      </c>
      <c r="L8" s="2">
        <v>0.26450000000000001</v>
      </c>
      <c r="M8" s="2">
        <v>466.8184</v>
      </c>
      <c r="O8" s="9" t="s">
        <v>44</v>
      </c>
      <c r="P8" s="9" t="s">
        <v>22</v>
      </c>
      <c r="Q8" s="11">
        <f t="shared" si="0"/>
        <v>18.025700000000001</v>
      </c>
      <c r="R8" s="11">
        <f t="shared" si="1"/>
        <v>18.025700000000001</v>
      </c>
      <c r="S8" s="11">
        <f t="shared" si="2"/>
        <v>139.32249999999999</v>
      </c>
      <c r="T8" s="11">
        <f t="shared" si="3"/>
        <v>92.595299999999995</v>
      </c>
      <c r="U8" s="11">
        <f t="shared" si="4"/>
        <v>51.6858</v>
      </c>
      <c r="V8" s="11">
        <f t="shared" si="5"/>
        <v>51.6858</v>
      </c>
    </row>
    <row r="9" spans="2:22" x14ac:dyDescent="0.3">
      <c r="B9" s="2">
        <v>-1</v>
      </c>
      <c r="C9" s="2" t="s">
        <v>44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179.72069999999999</v>
      </c>
      <c r="I9" s="2">
        <v>30.9407</v>
      </c>
      <c r="J9" s="2">
        <v>0.15390000000000001</v>
      </c>
      <c r="K9" s="2">
        <v>8.1900000000000001E-2</v>
      </c>
      <c r="L9" s="2">
        <v>0.14080000000000001</v>
      </c>
      <c r="M9" s="2">
        <v>421.20310000000001</v>
      </c>
      <c r="O9" s="9" t="s">
        <v>45</v>
      </c>
      <c r="P9" s="9" t="s">
        <v>14</v>
      </c>
      <c r="Q9" s="11">
        <f t="shared" si="0"/>
        <v>-1.4415</v>
      </c>
      <c r="R9" s="11">
        <f t="shared" si="1"/>
        <v>-1.4415</v>
      </c>
      <c r="S9" s="11">
        <f t="shared" si="2"/>
        <v>-3.1642000000000001</v>
      </c>
      <c r="T9" s="11">
        <f t="shared" si="3"/>
        <v>-6.9120999999999997</v>
      </c>
      <c r="U9" s="11">
        <f t="shared" si="4"/>
        <v>-259.2312</v>
      </c>
      <c r="V9" s="11">
        <f t="shared" si="5"/>
        <v>-264.54489999999998</v>
      </c>
    </row>
    <row r="10" spans="2:22" x14ac:dyDescent="0.3">
      <c r="B10" s="2">
        <v>-1</v>
      </c>
      <c r="C10" s="2" t="s">
        <v>44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51.6858</v>
      </c>
      <c r="I10" s="2">
        <v>18.025700000000001</v>
      </c>
      <c r="J10" s="2">
        <v>8.7400000000000005E-2</v>
      </c>
      <c r="K10" s="2">
        <v>0.31979999999999997</v>
      </c>
      <c r="L10" s="2">
        <v>0.54049999999999998</v>
      </c>
      <c r="M10" s="2">
        <v>139.32249999999999</v>
      </c>
      <c r="O10" s="9" t="s">
        <v>45</v>
      </c>
      <c r="P10" s="9" t="s">
        <v>18</v>
      </c>
      <c r="Q10" s="11">
        <f t="shared" si="0"/>
        <v>-3.0756999999999999</v>
      </c>
      <c r="R10" s="11">
        <f t="shared" si="1"/>
        <v>-3.0756999999999999</v>
      </c>
      <c r="S10" s="11">
        <f t="shared" si="2"/>
        <v>2.0179999999999998</v>
      </c>
      <c r="T10" s="11">
        <f t="shared" si="3"/>
        <v>-5.9789000000000003</v>
      </c>
      <c r="U10" s="11">
        <f t="shared" si="4"/>
        <v>-60.246600000000001</v>
      </c>
      <c r="V10" s="11">
        <f t="shared" si="5"/>
        <v>-60.246600000000001</v>
      </c>
    </row>
    <row r="11" spans="2:22" x14ac:dyDescent="0.3">
      <c r="B11" s="2">
        <v>-1</v>
      </c>
      <c r="C11" s="2" t="s">
        <v>44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51.6858</v>
      </c>
      <c r="I11" s="2">
        <v>18.025700000000001</v>
      </c>
      <c r="J11" s="2">
        <v>8.7400000000000005E-2</v>
      </c>
      <c r="K11" s="2">
        <v>0.31979999999999997</v>
      </c>
      <c r="L11" s="2">
        <v>0.4698</v>
      </c>
      <c r="M11" s="2">
        <v>92.595299999999995</v>
      </c>
      <c r="O11" s="9" t="s">
        <v>45</v>
      </c>
      <c r="P11" s="9" t="s">
        <v>19</v>
      </c>
      <c r="Q11" s="11">
        <f t="shared" si="0"/>
        <v>1.7436</v>
      </c>
      <c r="R11" s="11">
        <f t="shared" si="1"/>
        <v>1.7436</v>
      </c>
      <c r="S11" s="11">
        <f t="shared" si="2"/>
        <v>14.657999999999999</v>
      </c>
      <c r="T11" s="11">
        <f t="shared" si="3"/>
        <v>11.833</v>
      </c>
      <c r="U11" s="11">
        <f t="shared" si="4"/>
        <v>147.52449999999999</v>
      </c>
      <c r="V11" s="11">
        <f t="shared" si="5"/>
        <v>147.52449999999999</v>
      </c>
    </row>
    <row r="12" spans="2:22" x14ac:dyDescent="0.3">
      <c r="B12" s="2">
        <v>-1</v>
      </c>
      <c r="C12" s="2" t="s">
        <v>44</v>
      </c>
      <c r="D12" s="2" t="s">
        <v>23</v>
      </c>
      <c r="E12" s="2" t="s">
        <v>24</v>
      </c>
      <c r="F12" s="2"/>
      <c r="G12" s="2" t="s">
        <v>16</v>
      </c>
      <c r="H12" s="2">
        <v>-660.13350000000003</v>
      </c>
      <c r="I12" s="2">
        <v>-17.130700000000001</v>
      </c>
      <c r="J12" s="2">
        <v>0.51429999999999998</v>
      </c>
      <c r="K12" s="2">
        <v>0.54369999999999996</v>
      </c>
      <c r="L12" s="2">
        <v>-0.97870000000000001</v>
      </c>
      <c r="M12" s="2">
        <v>78.958200000000005</v>
      </c>
      <c r="O12" s="9" t="s">
        <v>45</v>
      </c>
      <c r="P12" s="9" t="s">
        <v>22</v>
      </c>
      <c r="Q12" s="11">
        <f t="shared" si="0"/>
        <v>7.0010000000000003</v>
      </c>
      <c r="R12" s="11">
        <f t="shared" si="1"/>
        <v>7.0010000000000003</v>
      </c>
      <c r="S12" s="11">
        <f t="shared" si="2"/>
        <v>65.213099999999997</v>
      </c>
      <c r="T12" s="11">
        <f t="shared" si="3"/>
        <v>48.119500000000002</v>
      </c>
      <c r="U12" s="11">
        <f t="shared" si="4"/>
        <v>46.881599999999999</v>
      </c>
      <c r="V12" s="11">
        <f t="shared" si="5"/>
        <v>46.881599999999999</v>
      </c>
    </row>
    <row r="13" spans="2:22" x14ac:dyDescent="0.3">
      <c r="B13" s="2">
        <v>-1</v>
      </c>
      <c r="C13" s="2" t="s">
        <v>44</v>
      </c>
      <c r="D13" s="2" t="s">
        <v>23</v>
      </c>
      <c r="E13" s="2" t="s">
        <v>24</v>
      </c>
      <c r="F13" s="2"/>
      <c r="G13" s="2" t="s">
        <v>17</v>
      </c>
      <c r="H13" s="2">
        <v>-672.77819999999997</v>
      </c>
      <c r="I13" s="2">
        <v>-17.130700000000001</v>
      </c>
      <c r="J13" s="2">
        <v>0.51429999999999998</v>
      </c>
      <c r="K13" s="2">
        <v>0.54369999999999996</v>
      </c>
      <c r="L13" s="2">
        <v>0.35849999999999999</v>
      </c>
      <c r="M13" s="2">
        <v>34.418300000000002</v>
      </c>
    </row>
    <row r="14" spans="2:22" x14ac:dyDescent="0.3">
      <c r="B14" s="2">
        <v>-1</v>
      </c>
      <c r="C14" s="2" t="s">
        <v>44</v>
      </c>
      <c r="D14" s="2" t="s">
        <v>25</v>
      </c>
      <c r="E14" s="2" t="s">
        <v>24</v>
      </c>
      <c r="F14" s="2"/>
      <c r="G14" s="2" t="s">
        <v>16</v>
      </c>
      <c r="H14" s="2">
        <v>-742.73919999999998</v>
      </c>
      <c r="I14" s="2">
        <v>-21.0366</v>
      </c>
      <c r="J14" s="2">
        <v>0.68899999999999995</v>
      </c>
      <c r="K14" s="2">
        <v>0.84660000000000002</v>
      </c>
      <c r="L14" s="2">
        <v>-1.3569</v>
      </c>
      <c r="M14" s="2">
        <v>95.104500000000002</v>
      </c>
    </row>
    <row r="15" spans="2:22" x14ac:dyDescent="0.3">
      <c r="B15" s="2">
        <v>-1</v>
      </c>
      <c r="C15" s="2" t="s">
        <v>44</v>
      </c>
      <c r="D15" s="2" t="s">
        <v>25</v>
      </c>
      <c r="E15" s="2" t="s">
        <v>24</v>
      </c>
      <c r="F15" s="2"/>
      <c r="G15" s="2" t="s">
        <v>17</v>
      </c>
      <c r="H15" s="2">
        <v>-753.57749999999999</v>
      </c>
      <c r="I15" s="2">
        <v>-21.0366</v>
      </c>
      <c r="J15" s="2">
        <v>0.68899999999999995</v>
      </c>
      <c r="K15" s="2">
        <v>0.84660000000000002</v>
      </c>
      <c r="L15" s="2">
        <v>0.43459999999999999</v>
      </c>
      <c r="M15" s="2">
        <v>40.409300000000002</v>
      </c>
    </row>
    <row r="16" spans="2:22" x14ac:dyDescent="0.3">
      <c r="B16" s="2">
        <v>-1</v>
      </c>
      <c r="C16" s="2" t="s">
        <v>44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-172.76259999999999</v>
      </c>
      <c r="I16" s="2">
        <v>32.304400000000001</v>
      </c>
      <c r="J16" s="2">
        <v>0.54600000000000004</v>
      </c>
      <c r="K16" s="2">
        <v>0.4642</v>
      </c>
      <c r="L16" s="2">
        <v>-0.25879999999999997</v>
      </c>
      <c r="M16" s="2">
        <v>704.30470000000003</v>
      </c>
    </row>
    <row r="17" spans="2:13" x14ac:dyDescent="0.3">
      <c r="B17" s="2">
        <v>-1</v>
      </c>
      <c r="C17" s="2" t="s">
        <v>44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-180.8913</v>
      </c>
      <c r="I17" s="2">
        <v>32.304400000000001</v>
      </c>
      <c r="J17" s="2">
        <v>0.54600000000000004</v>
      </c>
      <c r="K17" s="2">
        <v>0.4642</v>
      </c>
      <c r="L17" s="2">
        <v>0.42759999999999998</v>
      </c>
      <c r="M17" s="2">
        <v>611.81039999999996</v>
      </c>
    </row>
    <row r="18" spans="2:13" x14ac:dyDescent="0.3">
      <c r="B18" s="2">
        <v>-1</v>
      </c>
      <c r="C18" s="2" t="s">
        <v>44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-675.98040000000003</v>
      </c>
      <c r="I18" s="2">
        <v>-54.329599999999999</v>
      </c>
      <c r="J18" s="2">
        <v>0.1152</v>
      </c>
      <c r="K18" s="2">
        <v>0.23480000000000001</v>
      </c>
      <c r="L18" s="2">
        <v>-0.99950000000000006</v>
      </c>
      <c r="M18" s="2">
        <v>-602.78689999999995</v>
      </c>
    </row>
    <row r="19" spans="2:13" x14ac:dyDescent="0.3">
      <c r="B19" s="2">
        <v>-1</v>
      </c>
      <c r="C19" s="2" t="s">
        <v>44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-684.10919999999999</v>
      </c>
      <c r="I19" s="2">
        <v>-54.329599999999999</v>
      </c>
      <c r="J19" s="2">
        <v>0.1152</v>
      </c>
      <c r="K19" s="2">
        <v>0.23480000000000001</v>
      </c>
      <c r="L19" s="2">
        <v>3.3300000000000003E-2</v>
      </c>
      <c r="M19" s="2">
        <v>-567.55820000000006</v>
      </c>
    </row>
    <row r="20" spans="2:13" x14ac:dyDescent="0.3">
      <c r="B20" s="2">
        <v>-1</v>
      </c>
      <c r="C20" s="2" t="s">
        <v>44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-424.78879999999998</v>
      </c>
      <c r="I20" s="2">
        <v>24.662800000000001</v>
      </c>
      <c r="J20" s="2">
        <v>0.81140000000000001</v>
      </c>
      <c r="K20" s="2">
        <v>0.81859999999999999</v>
      </c>
      <c r="L20" s="2">
        <v>-0.7923</v>
      </c>
      <c r="M20" s="2">
        <v>738.3655</v>
      </c>
    </row>
    <row r="21" spans="2:13" x14ac:dyDescent="0.3">
      <c r="B21" s="2">
        <v>-1</v>
      </c>
      <c r="C21" s="2" t="s">
        <v>44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-435.62720000000002</v>
      </c>
      <c r="I21" s="2">
        <v>24.662800000000001</v>
      </c>
      <c r="J21" s="2">
        <v>0.81140000000000001</v>
      </c>
      <c r="K21" s="2">
        <v>0.81859999999999999</v>
      </c>
      <c r="L21" s="2">
        <v>0.58399999999999996</v>
      </c>
      <c r="M21" s="2">
        <v>626.00319999999999</v>
      </c>
    </row>
    <row r="22" spans="2:13" x14ac:dyDescent="0.3">
      <c r="B22" s="2">
        <v>-1</v>
      </c>
      <c r="C22" s="2" t="s">
        <v>44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-928.00670000000002</v>
      </c>
      <c r="I22" s="2">
        <v>-61.971200000000003</v>
      </c>
      <c r="J22" s="2">
        <v>0.3805</v>
      </c>
      <c r="K22" s="2">
        <v>0.58909999999999996</v>
      </c>
      <c r="L22" s="2">
        <v>-1.5329999999999999</v>
      </c>
      <c r="M22" s="2">
        <v>-568.726</v>
      </c>
    </row>
    <row r="23" spans="2:13" x14ac:dyDescent="0.3">
      <c r="B23" s="2">
        <v>-1</v>
      </c>
      <c r="C23" s="2" t="s">
        <v>44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-938.84500000000003</v>
      </c>
      <c r="I23" s="2">
        <v>-61.971200000000003</v>
      </c>
      <c r="J23" s="2">
        <v>0.3805</v>
      </c>
      <c r="K23" s="2">
        <v>0.58909999999999996</v>
      </c>
      <c r="L23" s="2">
        <v>0.18959999999999999</v>
      </c>
      <c r="M23" s="2">
        <v>-553.36540000000002</v>
      </c>
    </row>
    <row r="24" spans="2:13" x14ac:dyDescent="0.3">
      <c r="B24" s="2">
        <v>-1</v>
      </c>
      <c r="C24" s="2" t="s">
        <v>44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-604.0376</v>
      </c>
      <c r="I24" s="2">
        <v>6.5818000000000003</v>
      </c>
      <c r="J24" s="2">
        <v>0.71830000000000005</v>
      </c>
      <c r="K24" s="2">
        <v>1.1515</v>
      </c>
      <c r="L24" s="2">
        <v>-0.40589999999999998</v>
      </c>
      <c r="M24" s="2">
        <v>279.87130000000002</v>
      </c>
    </row>
    <row r="25" spans="2:13" x14ac:dyDescent="0.3">
      <c r="B25" s="2">
        <v>-1</v>
      </c>
      <c r="C25" s="2" t="s">
        <v>44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-614.87599999999998</v>
      </c>
      <c r="I25" s="2">
        <v>6.5818000000000003</v>
      </c>
      <c r="J25" s="2">
        <v>0.71830000000000005</v>
      </c>
      <c r="K25" s="2">
        <v>1.1515</v>
      </c>
      <c r="L25" s="2">
        <v>1.0445</v>
      </c>
      <c r="M25" s="2">
        <v>165.95230000000001</v>
      </c>
    </row>
    <row r="26" spans="2:13" x14ac:dyDescent="0.3">
      <c r="B26" s="2">
        <v>-1</v>
      </c>
      <c r="C26" s="2" t="s">
        <v>44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-748.75779999999997</v>
      </c>
      <c r="I26" s="2">
        <v>-43.8902</v>
      </c>
      <c r="J26" s="2">
        <v>0.47360000000000002</v>
      </c>
      <c r="K26" s="2">
        <v>0.25619999999999998</v>
      </c>
      <c r="L26" s="2">
        <v>-1.9194</v>
      </c>
      <c r="M26" s="2">
        <v>-110.23180000000001</v>
      </c>
    </row>
    <row r="27" spans="2:13" x14ac:dyDescent="0.3">
      <c r="B27" s="2">
        <v>-1</v>
      </c>
      <c r="C27" s="2" t="s">
        <v>44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-759.59619999999995</v>
      </c>
      <c r="I27" s="2">
        <v>-43.8902</v>
      </c>
      <c r="J27" s="2">
        <v>0.47360000000000002</v>
      </c>
      <c r="K27" s="2">
        <v>0.25619999999999998</v>
      </c>
      <c r="L27" s="2">
        <v>-0.27089999999999997</v>
      </c>
      <c r="M27" s="2">
        <v>-93.314599999999999</v>
      </c>
    </row>
    <row r="28" spans="2:13" x14ac:dyDescent="0.3">
      <c r="B28" s="2">
        <v>-1</v>
      </c>
      <c r="C28" s="2" t="s">
        <v>44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-172.76259999999999</v>
      </c>
      <c r="I28" s="2">
        <v>32.304400000000001</v>
      </c>
      <c r="J28" s="2">
        <v>0.81140000000000001</v>
      </c>
      <c r="K28" s="2">
        <v>1.1515</v>
      </c>
      <c r="L28" s="2">
        <v>0.12759999999999999</v>
      </c>
      <c r="M28" s="2">
        <v>738.3655</v>
      </c>
    </row>
    <row r="29" spans="2:13" x14ac:dyDescent="0.3">
      <c r="B29" s="2">
        <v>-1</v>
      </c>
      <c r="C29" s="2" t="s">
        <v>44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-180.8913</v>
      </c>
      <c r="I29" s="2">
        <v>32.304400000000001</v>
      </c>
      <c r="J29" s="2">
        <v>0.81140000000000001</v>
      </c>
      <c r="K29" s="2">
        <v>1.1515</v>
      </c>
      <c r="L29" s="2">
        <v>1.0445</v>
      </c>
      <c r="M29" s="2">
        <v>626.00319999999999</v>
      </c>
    </row>
    <row r="30" spans="2:13" x14ac:dyDescent="0.3">
      <c r="B30" s="2">
        <v>-1</v>
      </c>
      <c r="C30" s="2" t="s">
        <v>44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-928.00670000000002</v>
      </c>
      <c r="I30" s="2">
        <v>-61.971200000000003</v>
      </c>
      <c r="J30" s="2">
        <v>0.1152</v>
      </c>
      <c r="K30" s="2">
        <v>-9.8100000000000007E-2</v>
      </c>
      <c r="L30" s="2">
        <v>-1.9194</v>
      </c>
      <c r="M30" s="2">
        <v>-602.78689999999995</v>
      </c>
    </row>
    <row r="31" spans="2:13" x14ac:dyDescent="0.3">
      <c r="B31" s="2">
        <v>-1</v>
      </c>
      <c r="C31" s="2" t="s">
        <v>44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-938.84500000000003</v>
      </c>
      <c r="I31" s="2">
        <v>-61.971200000000003</v>
      </c>
      <c r="J31" s="2">
        <v>0.1152</v>
      </c>
      <c r="K31" s="2">
        <v>-9.8100000000000007E-2</v>
      </c>
      <c r="L31" s="2">
        <v>-0.42730000000000001</v>
      </c>
      <c r="M31" s="2">
        <v>-567.55820000000006</v>
      </c>
    </row>
    <row r="32" spans="2:13" x14ac:dyDescent="0.3">
      <c r="B32" s="2">
        <v>-1</v>
      </c>
      <c r="C32" s="2" t="s">
        <v>44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-352.01139999999998</v>
      </c>
      <c r="I32" s="2">
        <v>14.2234</v>
      </c>
      <c r="J32" s="2">
        <v>0.45290000000000002</v>
      </c>
      <c r="K32" s="2">
        <v>0.79720000000000002</v>
      </c>
      <c r="L32" s="2">
        <v>0.12759999999999999</v>
      </c>
      <c r="M32" s="2">
        <v>245.81039999999999</v>
      </c>
    </row>
    <row r="33" spans="2:13" x14ac:dyDescent="0.3">
      <c r="B33" s="2">
        <v>-1</v>
      </c>
      <c r="C33" s="2" t="s">
        <v>44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-360.14019999999999</v>
      </c>
      <c r="I33" s="2">
        <v>14.2234</v>
      </c>
      <c r="J33" s="2">
        <v>0.45290000000000002</v>
      </c>
      <c r="K33" s="2">
        <v>0.79720000000000002</v>
      </c>
      <c r="L33" s="2">
        <v>0.8881</v>
      </c>
      <c r="M33" s="2">
        <v>151.7595</v>
      </c>
    </row>
    <row r="34" spans="2:13" x14ac:dyDescent="0.3">
      <c r="B34" s="2">
        <v>-1</v>
      </c>
      <c r="C34" s="2" t="s">
        <v>44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-496.73160000000001</v>
      </c>
      <c r="I34" s="2">
        <v>-36.248600000000003</v>
      </c>
      <c r="J34" s="2">
        <v>0.20830000000000001</v>
      </c>
      <c r="K34" s="2">
        <v>-9.8100000000000007E-2</v>
      </c>
      <c r="L34" s="2">
        <v>-1.3858999999999999</v>
      </c>
      <c r="M34" s="2">
        <v>-144.2927</v>
      </c>
    </row>
    <row r="35" spans="2:13" x14ac:dyDescent="0.3">
      <c r="B35" s="2">
        <v>-1</v>
      </c>
      <c r="C35" s="2" t="s">
        <v>44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-504.86040000000003</v>
      </c>
      <c r="I35" s="2">
        <v>-36.248600000000003</v>
      </c>
      <c r="J35" s="2">
        <v>0.20830000000000001</v>
      </c>
      <c r="K35" s="2">
        <v>-9.8100000000000007E-2</v>
      </c>
      <c r="L35" s="2">
        <v>-0.42730000000000001</v>
      </c>
      <c r="M35" s="2">
        <v>-107.5074</v>
      </c>
    </row>
    <row r="36" spans="2:13" x14ac:dyDescent="0.3">
      <c r="B36" s="2">
        <v>-1</v>
      </c>
      <c r="C36" s="2" t="s">
        <v>44</v>
      </c>
      <c r="D36" s="2" t="s">
        <v>32</v>
      </c>
      <c r="E36" s="2" t="s">
        <v>24</v>
      </c>
      <c r="F36" s="2"/>
      <c r="G36" s="2" t="s">
        <v>16</v>
      </c>
      <c r="H36" s="2">
        <v>-582.09289999999999</v>
      </c>
      <c r="I36" s="2">
        <v>-16.206900000000001</v>
      </c>
      <c r="J36" s="2">
        <v>0.52249999999999996</v>
      </c>
      <c r="K36" s="2">
        <v>0.62619999999999998</v>
      </c>
      <c r="L36" s="2">
        <v>-1.0227999999999999</v>
      </c>
      <c r="M36" s="2">
        <v>73.540000000000006</v>
      </c>
    </row>
    <row r="37" spans="2:13" x14ac:dyDescent="0.3">
      <c r="B37" s="2">
        <v>-1</v>
      </c>
      <c r="C37" s="2" t="s">
        <v>44</v>
      </c>
      <c r="D37" s="2" t="s">
        <v>32</v>
      </c>
      <c r="E37" s="2" t="s">
        <v>24</v>
      </c>
      <c r="F37" s="2"/>
      <c r="G37" s="2" t="s">
        <v>17</v>
      </c>
      <c r="H37" s="2">
        <v>-591.12490000000003</v>
      </c>
      <c r="I37" s="2">
        <v>-16.206900000000001</v>
      </c>
      <c r="J37" s="2">
        <v>0.52249999999999996</v>
      </c>
      <c r="K37" s="2">
        <v>0.62619999999999998</v>
      </c>
      <c r="L37" s="2">
        <v>0.33560000000000001</v>
      </c>
      <c r="M37" s="2">
        <v>31.402000000000001</v>
      </c>
    </row>
    <row r="38" spans="2:13" x14ac:dyDescent="0.3">
      <c r="B38" s="2">
        <v>-1</v>
      </c>
      <c r="C38" s="2" t="s">
        <v>45</v>
      </c>
      <c r="D38" s="2" t="s">
        <v>14</v>
      </c>
      <c r="E38" s="2" t="s">
        <v>15</v>
      </c>
      <c r="F38" s="2"/>
      <c r="G38" s="2" t="s">
        <v>16</v>
      </c>
      <c r="H38" s="2">
        <v>-259.2312</v>
      </c>
      <c r="I38" s="2">
        <v>-1.4415</v>
      </c>
      <c r="J38" s="2">
        <v>0.1429</v>
      </c>
      <c r="K38" s="2">
        <v>1.23E-2</v>
      </c>
      <c r="L38" s="2">
        <v>-0.78649999999999998</v>
      </c>
      <c r="M38" s="2">
        <v>-3.1642000000000001</v>
      </c>
    </row>
    <row r="39" spans="2:13" x14ac:dyDescent="0.3">
      <c r="B39" s="2">
        <v>-1</v>
      </c>
      <c r="C39" s="2" t="s">
        <v>45</v>
      </c>
      <c r="D39" s="2" t="s">
        <v>14</v>
      </c>
      <c r="E39" s="2" t="s">
        <v>15</v>
      </c>
      <c r="F39" s="2"/>
      <c r="G39" s="2" t="s">
        <v>17</v>
      </c>
      <c r="H39" s="2">
        <v>-264.54489999999998</v>
      </c>
      <c r="I39" s="2">
        <v>-1.4415</v>
      </c>
      <c r="J39" s="2">
        <v>0.1429</v>
      </c>
      <c r="K39" s="2">
        <v>1.23E-2</v>
      </c>
      <c r="L39" s="2">
        <v>-0.41489999999999999</v>
      </c>
      <c r="M39" s="2">
        <v>-6.9120999999999997</v>
      </c>
    </row>
    <row r="40" spans="2:13" x14ac:dyDescent="0.3">
      <c r="B40" s="2">
        <v>-1</v>
      </c>
      <c r="C40" s="2" t="s">
        <v>45</v>
      </c>
      <c r="D40" s="2" t="s">
        <v>18</v>
      </c>
      <c r="E40" s="2" t="s">
        <v>15</v>
      </c>
      <c r="F40" s="2"/>
      <c r="G40" s="2" t="s">
        <v>16</v>
      </c>
      <c r="H40" s="2">
        <v>-60.246600000000001</v>
      </c>
      <c r="I40" s="2">
        <v>-3.0756999999999999</v>
      </c>
      <c r="J40" s="2">
        <v>0.1242</v>
      </c>
      <c r="K40" s="2">
        <v>6.7599999999999993E-2</v>
      </c>
      <c r="L40" s="2">
        <v>-0.43580000000000002</v>
      </c>
      <c r="M40" s="2">
        <v>2.0179999999999998</v>
      </c>
    </row>
    <row r="41" spans="2:13" x14ac:dyDescent="0.3">
      <c r="B41" s="2">
        <v>-1</v>
      </c>
      <c r="C41" s="2" t="s">
        <v>45</v>
      </c>
      <c r="D41" s="2" t="s">
        <v>18</v>
      </c>
      <c r="E41" s="2" t="s">
        <v>15</v>
      </c>
      <c r="F41" s="2"/>
      <c r="G41" s="2" t="s">
        <v>17</v>
      </c>
      <c r="H41" s="2">
        <v>-60.246600000000001</v>
      </c>
      <c r="I41" s="2">
        <v>-3.0756999999999999</v>
      </c>
      <c r="J41" s="2">
        <v>0.1242</v>
      </c>
      <c r="K41" s="2">
        <v>6.7599999999999993E-2</v>
      </c>
      <c r="L41" s="2">
        <v>-0.1129</v>
      </c>
      <c r="M41" s="2">
        <v>-5.9789000000000003</v>
      </c>
    </row>
    <row r="42" spans="2:13" x14ac:dyDescent="0.3">
      <c r="B42" s="2">
        <v>-1</v>
      </c>
      <c r="C42" s="2" t="s">
        <v>45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147.52449999999999</v>
      </c>
      <c r="I42" s="2">
        <v>1.7436</v>
      </c>
      <c r="J42" s="2">
        <v>0.2555</v>
      </c>
      <c r="K42" s="2">
        <v>0.18440000000000001</v>
      </c>
      <c r="L42" s="2">
        <v>2.4977999999999998</v>
      </c>
      <c r="M42" s="2">
        <v>14.657999999999999</v>
      </c>
    </row>
    <row r="43" spans="2:13" x14ac:dyDescent="0.3">
      <c r="B43" s="2">
        <v>-1</v>
      </c>
      <c r="C43" s="2" t="s">
        <v>45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147.52449999999999</v>
      </c>
      <c r="I43" s="2">
        <v>1.7436</v>
      </c>
      <c r="J43" s="2">
        <v>0.2555</v>
      </c>
      <c r="K43" s="2">
        <v>0.18440000000000001</v>
      </c>
      <c r="L43" s="2">
        <v>2.7902999999999998</v>
      </c>
      <c r="M43" s="2">
        <v>11.833</v>
      </c>
    </row>
    <row r="44" spans="2:13" x14ac:dyDescent="0.3">
      <c r="B44" s="2">
        <v>-1</v>
      </c>
      <c r="C44" s="2" t="s">
        <v>45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46.881599999999999</v>
      </c>
      <c r="I44" s="2">
        <v>7.0010000000000003</v>
      </c>
      <c r="J44" s="2">
        <v>5.1400000000000001E-2</v>
      </c>
      <c r="K44" s="2">
        <v>0.1</v>
      </c>
      <c r="L44" s="2">
        <v>5.5606</v>
      </c>
      <c r="M44" s="2">
        <v>65.213099999999997</v>
      </c>
    </row>
    <row r="45" spans="2:13" x14ac:dyDescent="0.3">
      <c r="B45" s="2">
        <v>-1</v>
      </c>
      <c r="C45" s="2" t="s">
        <v>45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46.881599999999999</v>
      </c>
      <c r="I45" s="2">
        <v>7.0010000000000003</v>
      </c>
      <c r="J45" s="2">
        <v>5.1400000000000001E-2</v>
      </c>
      <c r="K45" s="2">
        <v>0.1</v>
      </c>
      <c r="L45" s="2">
        <v>5.4942000000000002</v>
      </c>
      <c r="M45" s="2">
        <v>48.119500000000002</v>
      </c>
    </row>
    <row r="46" spans="2:13" x14ac:dyDescent="0.3">
      <c r="B46" s="2">
        <v>-1</v>
      </c>
      <c r="C46" s="2" t="s">
        <v>45</v>
      </c>
      <c r="D46" s="2" t="s">
        <v>23</v>
      </c>
      <c r="E46" s="2" t="s">
        <v>24</v>
      </c>
      <c r="F46" s="2"/>
      <c r="G46" s="2" t="s">
        <v>16</v>
      </c>
      <c r="H46" s="2">
        <v>-362.92360000000002</v>
      </c>
      <c r="I46" s="2">
        <v>-2.0181</v>
      </c>
      <c r="J46" s="2">
        <v>0.2001</v>
      </c>
      <c r="K46" s="2">
        <v>1.7299999999999999E-2</v>
      </c>
      <c r="L46" s="2">
        <v>-1.101</v>
      </c>
      <c r="M46" s="2">
        <v>-4.4298999999999999</v>
      </c>
    </row>
    <row r="47" spans="2:13" x14ac:dyDescent="0.3">
      <c r="B47" s="2">
        <v>-1</v>
      </c>
      <c r="C47" s="2" t="s">
        <v>45</v>
      </c>
      <c r="D47" s="2" t="s">
        <v>23</v>
      </c>
      <c r="E47" s="2" t="s">
        <v>24</v>
      </c>
      <c r="F47" s="2"/>
      <c r="G47" s="2" t="s">
        <v>17</v>
      </c>
      <c r="H47" s="2">
        <v>-370.36290000000002</v>
      </c>
      <c r="I47" s="2">
        <v>-2.0181</v>
      </c>
      <c r="J47" s="2">
        <v>0.2001</v>
      </c>
      <c r="K47" s="2">
        <v>1.7299999999999999E-2</v>
      </c>
      <c r="L47" s="2">
        <v>-0.58089999999999997</v>
      </c>
      <c r="M47" s="2">
        <v>-9.6768999999999998</v>
      </c>
    </row>
    <row r="48" spans="2:13" x14ac:dyDescent="0.3">
      <c r="B48" s="2">
        <v>-1</v>
      </c>
      <c r="C48" s="2" t="s">
        <v>45</v>
      </c>
      <c r="D48" s="2" t="s">
        <v>25</v>
      </c>
      <c r="E48" s="2" t="s">
        <v>24</v>
      </c>
      <c r="F48" s="2"/>
      <c r="G48" s="2" t="s">
        <v>16</v>
      </c>
      <c r="H48" s="2">
        <v>-407.47199999999998</v>
      </c>
      <c r="I48" s="2">
        <v>-6.6509999999999998</v>
      </c>
      <c r="J48" s="2">
        <v>0.37019999999999997</v>
      </c>
      <c r="K48" s="2">
        <v>0.1229</v>
      </c>
      <c r="L48" s="2">
        <v>-1.641</v>
      </c>
      <c r="M48" s="2">
        <v>-0.56830000000000003</v>
      </c>
    </row>
    <row r="49" spans="2:13" x14ac:dyDescent="0.3">
      <c r="B49" s="2">
        <v>-1</v>
      </c>
      <c r="C49" s="2" t="s">
        <v>45</v>
      </c>
      <c r="D49" s="2" t="s">
        <v>25</v>
      </c>
      <c r="E49" s="2" t="s">
        <v>24</v>
      </c>
      <c r="F49" s="2"/>
      <c r="G49" s="2" t="s">
        <v>17</v>
      </c>
      <c r="H49" s="2">
        <v>-413.8485</v>
      </c>
      <c r="I49" s="2">
        <v>-6.6509999999999998</v>
      </c>
      <c r="J49" s="2">
        <v>0.37019999999999997</v>
      </c>
      <c r="K49" s="2">
        <v>0.1229</v>
      </c>
      <c r="L49" s="2">
        <v>-0.67849999999999999</v>
      </c>
      <c r="M49" s="2">
        <v>-17.860800000000001</v>
      </c>
    </row>
    <row r="50" spans="2:13" x14ac:dyDescent="0.3">
      <c r="B50" s="2">
        <v>-1</v>
      </c>
      <c r="C50" s="2" t="s">
        <v>45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-26.773700000000002</v>
      </c>
      <c r="I50" s="2">
        <v>1.1437999999999999</v>
      </c>
      <c r="J50" s="2">
        <v>0.4864</v>
      </c>
      <c r="K50" s="2">
        <v>0.26919999999999999</v>
      </c>
      <c r="L50" s="2">
        <v>2.7890999999999999</v>
      </c>
      <c r="M50" s="2">
        <v>17.673400000000001</v>
      </c>
    </row>
    <row r="51" spans="2:13" x14ac:dyDescent="0.3">
      <c r="B51" s="2">
        <v>-1</v>
      </c>
      <c r="C51" s="2" t="s">
        <v>45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-31.556100000000001</v>
      </c>
      <c r="I51" s="2">
        <v>1.1437999999999999</v>
      </c>
      <c r="J51" s="2">
        <v>0.4864</v>
      </c>
      <c r="K51" s="2">
        <v>0.26919999999999999</v>
      </c>
      <c r="L51" s="2">
        <v>3.5329999999999999</v>
      </c>
      <c r="M51" s="2">
        <v>10.3453</v>
      </c>
    </row>
    <row r="52" spans="2:13" x14ac:dyDescent="0.3">
      <c r="B52" s="2">
        <v>-1</v>
      </c>
      <c r="C52" s="2" t="s">
        <v>45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-439.8424</v>
      </c>
      <c r="I52" s="2">
        <v>-3.7383999999999999</v>
      </c>
      <c r="J52" s="2">
        <v>-0.2291</v>
      </c>
      <c r="K52" s="2">
        <v>-0.24709999999999999</v>
      </c>
      <c r="L52" s="2">
        <v>-4.2047999999999996</v>
      </c>
      <c r="M52" s="2">
        <v>-23.369</v>
      </c>
    </row>
    <row r="53" spans="2:13" x14ac:dyDescent="0.3">
      <c r="B53" s="2">
        <v>-1</v>
      </c>
      <c r="C53" s="2" t="s">
        <v>45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-444.62479999999999</v>
      </c>
      <c r="I53" s="2">
        <v>-3.7383999999999999</v>
      </c>
      <c r="J53" s="2">
        <v>-0.2291</v>
      </c>
      <c r="K53" s="2">
        <v>-0.24709999999999999</v>
      </c>
      <c r="L53" s="2">
        <v>-4.2798999999999996</v>
      </c>
      <c r="M53" s="2">
        <v>-22.786999999999999</v>
      </c>
    </row>
    <row r="54" spans="2:13" x14ac:dyDescent="0.3">
      <c r="B54" s="2">
        <v>-1</v>
      </c>
      <c r="C54" s="2" t="s">
        <v>45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-164.78960000000001</v>
      </c>
      <c r="I54" s="2">
        <v>-2.3643999999999998</v>
      </c>
      <c r="J54" s="2">
        <v>0.65339999999999998</v>
      </c>
      <c r="K54" s="2">
        <v>0.34050000000000002</v>
      </c>
      <c r="L54" s="2">
        <v>2.1173999999999999</v>
      </c>
      <c r="M54" s="2">
        <v>18.742100000000001</v>
      </c>
    </row>
    <row r="55" spans="2:13" x14ac:dyDescent="0.3">
      <c r="B55" s="2">
        <v>-1</v>
      </c>
      <c r="C55" s="2" t="s">
        <v>45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-171.1661</v>
      </c>
      <c r="I55" s="2">
        <v>-2.3643999999999998</v>
      </c>
      <c r="J55" s="2">
        <v>0.65339999999999998</v>
      </c>
      <c r="K55" s="2">
        <v>0.34050000000000002</v>
      </c>
      <c r="L55" s="2">
        <v>3.2957000000000001</v>
      </c>
      <c r="M55" s="2">
        <v>2.2927</v>
      </c>
    </row>
    <row r="56" spans="2:13" x14ac:dyDescent="0.3">
      <c r="B56" s="2">
        <v>-1</v>
      </c>
      <c r="C56" s="2" t="s">
        <v>45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-577.85839999999996</v>
      </c>
      <c r="I56" s="2">
        <v>-7.2465999999999999</v>
      </c>
      <c r="J56" s="2">
        <v>-6.2100000000000002E-2</v>
      </c>
      <c r="K56" s="2">
        <v>-0.17580000000000001</v>
      </c>
      <c r="L56" s="2">
        <v>-4.8765000000000001</v>
      </c>
      <c r="M56" s="2">
        <v>-22.3003</v>
      </c>
    </row>
    <row r="57" spans="2:13" x14ac:dyDescent="0.3">
      <c r="B57" s="2">
        <v>-1</v>
      </c>
      <c r="C57" s="2" t="s">
        <v>45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-584.23490000000004</v>
      </c>
      <c r="I57" s="2">
        <v>-7.2465999999999999</v>
      </c>
      <c r="J57" s="2">
        <v>-6.2100000000000002E-2</v>
      </c>
      <c r="K57" s="2">
        <v>-0.17580000000000001</v>
      </c>
      <c r="L57" s="2">
        <v>-4.5171999999999999</v>
      </c>
      <c r="M57" s="2">
        <v>-30.839600000000001</v>
      </c>
    </row>
    <row r="58" spans="2:13" x14ac:dyDescent="0.3">
      <c r="B58" s="2">
        <v>-1</v>
      </c>
      <c r="C58" s="2" t="s">
        <v>45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-305.68979999999999</v>
      </c>
      <c r="I58" s="2">
        <v>4.9958999999999998</v>
      </c>
      <c r="J58" s="2">
        <v>0.36770000000000003</v>
      </c>
      <c r="K58" s="2">
        <v>0.22239999999999999</v>
      </c>
      <c r="L58" s="2">
        <v>6.4053000000000004</v>
      </c>
      <c r="M58" s="2">
        <v>89.519199999999998</v>
      </c>
    </row>
    <row r="59" spans="2:13" x14ac:dyDescent="0.3">
      <c r="B59" s="2">
        <v>-1</v>
      </c>
      <c r="C59" s="2" t="s">
        <v>45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-312.06630000000001</v>
      </c>
      <c r="I59" s="2">
        <v>4.9958999999999998</v>
      </c>
      <c r="J59" s="2">
        <v>0.36770000000000003</v>
      </c>
      <c r="K59" s="2">
        <v>0.22239999999999999</v>
      </c>
      <c r="L59" s="2">
        <v>7.0811000000000002</v>
      </c>
      <c r="M59" s="2">
        <v>53.093800000000002</v>
      </c>
    </row>
    <row r="60" spans="2:13" x14ac:dyDescent="0.3">
      <c r="B60" s="2">
        <v>-1</v>
      </c>
      <c r="C60" s="2" t="s">
        <v>45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-436.95819999999998</v>
      </c>
      <c r="I60" s="2">
        <v>-14.6069</v>
      </c>
      <c r="J60" s="2">
        <v>0.22370000000000001</v>
      </c>
      <c r="K60" s="2">
        <v>-5.7700000000000001E-2</v>
      </c>
      <c r="L60" s="2">
        <v>-9.1644000000000005</v>
      </c>
      <c r="M60" s="2">
        <v>-93.077399999999997</v>
      </c>
    </row>
    <row r="61" spans="2:13" x14ac:dyDescent="0.3">
      <c r="B61" s="2">
        <v>-1</v>
      </c>
      <c r="C61" s="2" t="s">
        <v>45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-443.3347</v>
      </c>
      <c r="I61" s="2">
        <v>-14.6069</v>
      </c>
      <c r="J61" s="2">
        <v>0.22370000000000001</v>
      </c>
      <c r="K61" s="2">
        <v>-5.7700000000000001E-2</v>
      </c>
      <c r="L61" s="2">
        <v>-8.3026999999999997</v>
      </c>
      <c r="M61" s="2">
        <v>-81.640699999999995</v>
      </c>
    </row>
    <row r="62" spans="2:13" x14ac:dyDescent="0.3">
      <c r="B62" s="2">
        <v>-1</v>
      </c>
      <c r="C62" s="2" t="s">
        <v>45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-26.773700000000002</v>
      </c>
      <c r="I62" s="2">
        <v>8.5040999999999993</v>
      </c>
      <c r="J62" s="2">
        <v>0.65339999999999998</v>
      </c>
      <c r="K62" s="2">
        <v>0.34050000000000002</v>
      </c>
      <c r="L62" s="2">
        <v>7.077</v>
      </c>
      <c r="M62" s="2">
        <v>89.519199999999998</v>
      </c>
    </row>
    <row r="63" spans="2:13" x14ac:dyDescent="0.3">
      <c r="B63" s="2">
        <v>-1</v>
      </c>
      <c r="C63" s="2" t="s">
        <v>45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-31.556100000000001</v>
      </c>
      <c r="I63" s="2">
        <v>8.5040999999999993</v>
      </c>
      <c r="J63" s="2">
        <v>0.65339999999999998</v>
      </c>
      <c r="K63" s="2">
        <v>0.34050000000000002</v>
      </c>
      <c r="L63" s="2">
        <v>7.3183999999999996</v>
      </c>
      <c r="M63" s="2">
        <v>61.146299999999997</v>
      </c>
    </row>
    <row r="64" spans="2:13" x14ac:dyDescent="0.3">
      <c r="B64" s="2">
        <v>-1</v>
      </c>
      <c r="C64" s="2" t="s">
        <v>45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-577.85839999999996</v>
      </c>
      <c r="I64" s="2">
        <v>-14.6069</v>
      </c>
      <c r="J64" s="2">
        <v>-0.2291</v>
      </c>
      <c r="K64" s="2">
        <v>-0.24709999999999999</v>
      </c>
      <c r="L64" s="2">
        <v>-9.1644000000000005</v>
      </c>
      <c r="M64" s="2">
        <v>-94.146100000000004</v>
      </c>
    </row>
    <row r="65" spans="2:13" x14ac:dyDescent="0.3">
      <c r="B65" s="2">
        <v>-1</v>
      </c>
      <c r="C65" s="2" t="s">
        <v>45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-584.23490000000004</v>
      </c>
      <c r="I65" s="2">
        <v>-14.6069</v>
      </c>
      <c r="J65" s="2">
        <v>-0.2291</v>
      </c>
      <c r="K65" s="2">
        <v>-0.24709999999999999</v>
      </c>
      <c r="L65" s="2">
        <v>-8.3026999999999997</v>
      </c>
      <c r="M65" s="2">
        <v>-81.640699999999995</v>
      </c>
    </row>
    <row r="66" spans="2:13" x14ac:dyDescent="0.3">
      <c r="B66" s="2">
        <v>-1</v>
      </c>
      <c r="C66" s="2" t="s">
        <v>45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-167.6738</v>
      </c>
      <c r="I66" s="2">
        <v>8.5040999999999993</v>
      </c>
      <c r="J66" s="2">
        <v>0.2006</v>
      </c>
      <c r="K66" s="2">
        <v>0.1512</v>
      </c>
      <c r="L66" s="2">
        <v>7.077</v>
      </c>
      <c r="M66" s="2">
        <v>88.450500000000005</v>
      </c>
    </row>
    <row r="67" spans="2:13" x14ac:dyDescent="0.3">
      <c r="B67" s="2">
        <v>-1</v>
      </c>
      <c r="C67" s="2" t="s">
        <v>45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-172.4562</v>
      </c>
      <c r="I67" s="2">
        <v>8.5040999999999993</v>
      </c>
      <c r="J67" s="2">
        <v>0.2006</v>
      </c>
      <c r="K67" s="2">
        <v>0.1512</v>
      </c>
      <c r="L67" s="2">
        <v>7.3183999999999996</v>
      </c>
      <c r="M67" s="2">
        <v>61.146299999999997</v>
      </c>
    </row>
    <row r="68" spans="2:13" x14ac:dyDescent="0.3">
      <c r="B68" s="2">
        <v>-1</v>
      </c>
      <c r="C68" s="2" t="s">
        <v>45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-298.94229999999999</v>
      </c>
      <c r="I68" s="2">
        <v>-11.098800000000001</v>
      </c>
      <c r="J68" s="2">
        <v>5.6599999999999998E-2</v>
      </c>
      <c r="K68" s="2">
        <v>-0.129</v>
      </c>
      <c r="L68" s="2">
        <v>-8.4925999999999995</v>
      </c>
      <c r="M68" s="2">
        <v>-94.146100000000004</v>
      </c>
    </row>
    <row r="69" spans="2:13" x14ac:dyDescent="0.3">
      <c r="B69" s="2">
        <v>-1</v>
      </c>
      <c r="C69" s="2" t="s">
        <v>45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-303.72460000000001</v>
      </c>
      <c r="I69" s="2">
        <v>-11.098800000000001</v>
      </c>
      <c r="J69" s="2">
        <v>5.6599999999999998E-2</v>
      </c>
      <c r="K69" s="2">
        <v>-0.129</v>
      </c>
      <c r="L69" s="2">
        <v>-8.0653000000000006</v>
      </c>
      <c r="M69" s="2">
        <v>-73.588099999999997</v>
      </c>
    </row>
    <row r="70" spans="2:13" x14ac:dyDescent="0.3">
      <c r="B70" s="2">
        <v>-1</v>
      </c>
      <c r="C70" s="2" t="s">
        <v>45</v>
      </c>
      <c r="D70" s="2" t="s">
        <v>32</v>
      </c>
      <c r="E70" s="2" t="s">
        <v>24</v>
      </c>
      <c r="F70" s="2"/>
      <c r="G70" s="2" t="s">
        <v>16</v>
      </c>
      <c r="H70" s="2">
        <v>-319.4778</v>
      </c>
      <c r="I70" s="2">
        <v>-4.5171999999999999</v>
      </c>
      <c r="J70" s="2">
        <v>0.2671</v>
      </c>
      <c r="K70" s="2">
        <v>7.9899999999999999E-2</v>
      </c>
      <c r="L70" s="2">
        <v>-1.2222</v>
      </c>
      <c r="M70" s="2">
        <v>-1.1463000000000001</v>
      </c>
    </row>
    <row r="71" spans="2:13" x14ac:dyDescent="0.3">
      <c r="B71" s="2">
        <v>-1</v>
      </c>
      <c r="C71" s="2" t="s">
        <v>45</v>
      </c>
      <c r="D71" s="2" t="s">
        <v>32</v>
      </c>
      <c r="E71" s="2" t="s">
        <v>24</v>
      </c>
      <c r="F71" s="2"/>
      <c r="G71" s="2" t="s">
        <v>17</v>
      </c>
      <c r="H71" s="2">
        <v>-324.79149999999998</v>
      </c>
      <c r="I71" s="2">
        <v>-4.5171999999999999</v>
      </c>
      <c r="J71" s="2">
        <v>0.2671</v>
      </c>
      <c r="K71" s="2">
        <v>7.9899999999999999E-2</v>
      </c>
      <c r="L71" s="2">
        <v>-0.52780000000000005</v>
      </c>
      <c r="M71" s="2">
        <v>-12.891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19C8-9FC8-409D-9964-764EE8180C0F}">
  <dimension ref="B2:V139"/>
  <sheetViews>
    <sheetView topLeftCell="D1" workbookViewId="0">
      <selection activeCell="Q22" sqref="Q22"/>
    </sheetView>
  </sheetViews>
  <sheetFormatPr baseColWidth="10" defaultRowHeight="14.4" x14ac:dyDescent="0.3"/>
  <cols>
    <col min="15" max="22" width="13.88671875" customWidth="1"/>
  </cols>
  <sheetData>
    <row r="2" spans="2:22" ht="46.8" x14ac:dyDescent="0.3"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2:22" x14ac:dyDescent="0.3"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2:22" x14ac:dyDescent="0.3">
      <c r="B4" s="2">
        <v>-1</v>
      </c>
      <c r="C4" s="2" t="s">
        <v>46</v>
      </c>
      <c r="D4" s="2" t="s">
        <v>14</v>
      </c>
      <c r="E4" s="2" t="s">
        <v>15</v>
      </c>
      <c r="F4" s="2"/>
      <c r="G4" s="2" t="s">
        <v>16</v>
      </c>
      <c r="H4" s="2">
        <v>-224.71369999999999</v>
      </c>
      <c r="I4" s="2">
        <v>9.0582999999999991</v>
      </c>
      <c r="J4" s="2">
        <v>-0.2165</v>
      </c>
      <c r="K4" s="2">
        <v>-1.03E-2</v>
      </c>
      <c r="L4" s="2">
        <v>0.31509999999999999</v>
      </c>
      <c r="M4" s="2">
        <v>-67.750500000000002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2:22" x14ac:dyDescent="0.3">
      <c r="B5" s="2">
        <v>-1</v>
      </c>
      <c r="C5" s="2" t="s">
        <v>46</v>
      </c>
      <c r="D5" s="2" t="s">
        <v>14</v>
      </c>
      <c r="E5" s="2" t="s">
        <v>15</v>
      </c>
      <c r="F5" s="2"/>
      <c r="G5" s="2" t="s">
        <v>17</v>
      </c>
      <c r="H5" s="2">
        <v>-233.40360000000001</v>
      </c>
      <c r="I5" s="2">
        <v>9.0582999999999991</v>
      </c>
      <c r="J5" s="2">
        <v>-0.2165</v>
      </c>
      <c r="K5" s="2">
        <v>-1.03E-2</v>
      </c>
      <c r="L5" s="2">
        <v>-0.24790000000000001</v>
      </c>
      <c r="M5" s="2">
        <v>-44.198900000000002</v>
      </c>
      <c r="O5" s="9" t="s">
        <v>46</v>
      </c>
      <c r="P5" s="9" t="s">
        <v>14</v>
      </c>
      <c r="Q5" s="11">
        <f t="shared" ref="Q5:Q20" si="0">_xlfn.MAXIFS($I$4:$I$138,$C$4:$C$138,$O5,$D$4:$D$138,$P5)</f>
        <v>9.0582999999999991</v>
      </c>
      <c r="R5" s="11">
        <f t="shared" ref="R5:R20" si="1">_xlfn.MINIFS($I$4:$I$138,$C$4:$C$138,$O5,$D$4:$D$138,$P5)</f>
        <v>9.0582999999999991</v>
      </c>
      <c r="S5" s="11">
        <f t="shared" ref="S5:S20" si="2">_xlfn.MAXIFS($M$4:$M$138,$C$4:$C$138,$O5,$D$4:$D$138,$P5)</f>
        <v>-44.198900000000002</v>
      </c>
      <c r="T5" s="11">
        <f t="shared" ref="T5:T20" si="3">_xlfn.MINIFS($M$4:$M$138,$C$4:$C$138,$O5,$D$4:$D$138,$P5)</f>
        <v>-67.750500000000002</v>
      </c>
      <c r="U5" s="11">
        <f t="shared" ref="U5:U20" si="4">_xlfn.MAXIFS($H$4:$H$138,$C$4:$C$138,$O5,$D$4:$D$138,$P5)</f>
        <v>-224.71369999999999</v>
      </c>
      <c r="V5" s="11">
        <f t="shared" ref="V5:V20" si="5">_xlfn.MINIFS($H$4:$H$138,$C$4:$C$138,$O5,$D$4:$D$138,$P5)</f>
        <v>-233.40360000000001</v>
      </c>
    </row>
    <row r="6" spans="2:22" x14ac:dyDescent="0.3">
      <c r="B6" s="2">
        <v>-1</v>
      </c>
      <c r="C6" s="2" t="s">
        <v>46</v>
      </c>
      <c r="D6" s="2" t="s">
        <v>18</v>
      </c>
      <c r="E6" s="2" t="s">
        <v>15</v>
      </c>
      <c r="F6" s="2"/>
      <c r="G6" s="2" t="s">
        <v>16</v>
      </c>
      <c r="H6" s="2">
        <v>-54.035499999999999</v>
      </c>
      <c r="I6" s="2">
        <v>1.3734</v>
      </c>
      <c r="J6" s="2">
        <v>-0.25879999999999997</v>
      </c>
      <c r="K6" s="2">
        <v>-0.17069999999999999</v>
      </c>
      <c r="L6" s="2">
        <v>0.3952</v>
      </c>
      <c r="M6" s="2">
        <v>-10.1751</v>
      </c>
      <c r="O6" s="9" t="s">
        <v>46</v>
      </c>
      <c r="P6" s="9" t="s">
        <v>18</v>
      </c>
      <c r="Q6" s="11">
        <f t="shared" si="0"/>
        <v>1.3734</v>
      </c>
      <c r="R6" s="11">
        <f t="shared" si="1"/>
        <v>1.3734</v>
      </c>
      <c r="S6" s="11">
        <f t="shared" si="2"/>
        <v>-6.6043000000000003</v>
      </c>
      <c r="T6" s="11">
        <f t="shared" si="3"/>
        <v>-10.1751</v>
      </c>
      <c r="U6" s="11">
        <f t="shared" si="4"/>
        <v>-54.035499999999999</v>
      </c>
      <c r="V6" s="11">
        <f t="shared" si="5"/>
        <v>-54.035499999999999</v>
      </c>
    </row>
    <row r="7" spans="2:22" x14ac:dyDescent="0.3">
      <c r="B7" s="2">
        <v>-1</v>
      </c>
      <c r="C7" s="2" t="s">
        <v>46</v>
      </c>
      <c r="D7" s="2" t="s">
        <v>18</v>
      </c>
      <c r="E7" s="2" t="s">
        <v>15</v>
      </c>
      <c r="F7" s="2"/>
      <c r="G7" s="2" t="s">
        <v>17</v>
      </c>
      <c r="H7" s="2">
        <v>-54.035499999999999</v>
      </c>
      <c r="I7" s="2">
        <v>1.3734</v>
      </c>
      <c r="J7" s="2">
        <v>-0.25879999999999997</v>
      </c>
      <c r="K7" s="2">
        <v>-0.17069999999999999</v>
      </c>
      <c r="L7" s="2">
        <v>-0.27750000000000002</v>
      </c>
      <c r="M7" s="2">
        <v>-6.6043000000000003</v>
      </c>
      <c r="O7" s="9" t="s">
        <v>46</v>
      </c>
      <c r="P7" s="9" t="s">
        <v>19</v>
      </c>
      <c r="Q7" s="11">
        <f t="shared" si="0"/>
        <v>13.421200000000001</v>
      </c>
      <c r="R7" s="11">
        <f t="shared" si="1"/>
        <v>13.421200000000001</v>
      </c>
      <c r="S7" s="11">
        <f t="shared" si="2"/>
        <v>333.3879</v>
      </c>
      <c r="T7" s="11">
        <f t="shared" si="3"/>
        <v>322.44580000000002</v>
      </c>
      <c r="U7" s="11">
        <f t="shared" si="4"/>
        <v>47.942</v>
      </c>
      <c r="V7" s="11">
        <f t="shared" si="5"/>
        <v>47.942</v>
      </c>
    </row>
    <row r="8" spans="2:22" x14ac:dyDescent="0.3">
      <c r="B8" s="2">
        <v>-1</v>
      </c>
      <c r="C8" s="2" t="s">
        <v>46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47.942</v>
      </c>
      <c r="I8" s="2">
        <v>13.421200000000001</v>
      </c>
      <c r="J8" s="2">
        <v>0.27029999999999998</v>
      </c>
      <c r="K8" s="2">
        <v>3.0200000000000001E-2</v>
      </c>
      <c r="L8" s="2">
        <v>0.46079999999999999</v>
      </c>
      <c r="M8" s="2">
        <v>322.44580000000002</v>
      </c>
      <c r="O8" s="9" t="s">
        <v>46</v>
      </c>
      <c r="P8" s="9" t="s">
        <v>22</v>
      </c>
      <c r="Q8" s="11">
        <f t="shared" si="0"/>
        <v>6.6257000000000001</v>
      </c>
      <c r="R8" s="11">
        <f t="shared" si="1"/>
        <v>6.6257000000000001</v>
      </c>
      <c r="S8" s="11">
        <f t="shared" si="2"/>
        <v>66.921700000000001</v>
      </c>
      <c r="T8" s="11">
        <f t="shared" si="3"/>
        <v>50.122799999999998</v>
      </c>
      <c r="U8" s="11">
        <f t="shared" si="4"/>
        <v>154.79750000000001</v>
      </c>
      <c r="V8" s="11">
        <f t="shared" si="5"/>
        <v>154.79750000000001</v>
      </c>
    </row>
    <row r="9" spans="2:22" x14ac:dyDescent="0.3">
      <c r="B9" s="2">
        <v>-1</v>
      </c>
      <c r="C9" s="2" t="s">
        <v>46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47.942</v>
      </c>
      <c r="I9" s="2">
        <v>13.421200000000001</v>
      </c>
      <c r="J9" s="2">
        <v>0.27029999999999998</v>
      </c>
      <c r="K9" s="2">
        <v>3.0200000000000001E-2</v>
      </c>
      <c r="L9" s="2">
        <v>0.2442</v>
      </c>
      <c r="M9" s="2">
        <v>333.3879</v>
      </c>
      <c r="O9" s="9" t="s">
        <v>47</v>
      </c>
      <c r="P9" s="9" t="s">
        <v>14</v>
      </c>
      <c r="Q9" s="11">
        <f t="shared" si="0"/>
        <v>-0.67049999999999998</v>
      </c>
      <c r="R9" s="11">
        <f t="shared" si="1"/>
        <v>-0.67049999999999998</v>
      </c>
      <c r="S9" s="11">
        <f t="shared" si="2"/>
        <v>-16.274000000000001</v>
      </c>
      <c r="T9" s="11">
        <f t="shared" si="3"/>
        <v>-18.017299999999999</v>
      </c>
      <c r="U9" s="11">
        <f t="shared" si="4"/>
        <v>-379.60899999999998</v>
      </c>
      <c r="V9" s="11">
        <f t="shared" si="5"/>
        <v>-388.29840000000002</v>
      </c>
    </row>
    <row r="10" spans="2:22" x14ac:dyDescent="0.3">
      <c r="B10" s="2">
        <v>-1</v>
      </c>
      <c r="C10" s="2" t="s">
        <v>46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154.79750000000001</v>
      </c>
      <c r="I10" s="2">
        <v>6.6257000000000001</v>
      </c>
      <c r="J10" s="2">
        <v>0.27400000000000002</v>
      </c>
      <c r="K10" s="2">
        <v>0.2908</v>
      </c>
      <c r="L10" s="2">
        <v>0.14929999999999999</v>
      </c>
      <c r="M10" s="2">
        <v>66.921700000000001</v>
      </c>
      <c r="O10" s="9" t="s">
        <v>47</v>
      </c>
      <c r="P10" s="9" t="s">
        <v>18</v>
      </c>
      <c r="Q10" s="11">
        <f t="shared" si="0"/>
        <v>0.94240000000000002</v>
      </c>
      <c r="R10" s="11">
        <f t="shared" si="1"/>
        <v>0.94240000000000002</v>
      </c>
      <c r="S10" s="11">
        <f t="shared" si="2"/>
        <v>-2.7081</v>
      </c>
      <c r="T10" s="11">
        <f t="shared" si="3"/>
        <v>-5.1584000000000003</v>
      </c>
      <c r="U10" s="11">
        <f t="shared" si="4"/>
        <v>-84.730400000000003</v>
      </c>
      <c r="V10" s="11">
        <f t="shared" si="5"/>
        <v>-84.730400000000003</v>
      </c>
    </row>
    <row r="11" spans="2:22" x14ac:dyDescent="0.3">
      <c r="B11" s="2">
        <v>-1</v>
      </c>
      <c r="C11" s="2" t="s">
        <v>46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154.79750000000001</v>
      </c>
      <c r="I11" s="2">
        <v>6.6257000000000001</v>
      </c>
      <c r="J11" s="2">
        <v>0.27400000000000002</v>
      </c>
      <c r="K11" s="2">
        <v>0.2908</v>
      </c>
      <c r="L11" s="2">
        <v>0.67379999999999995</v>
      </c>
      <c r="M11" s="2">
        <v>50.122799999999998</v>
      </c>
      <c r="O11" s="9" t="s">
        <v>47</v>
      </c>
      <c r="P11" s="9" t="s">
        <v>19</v>
      </c>
      <c r="Q11" s="11">
        <f t="shared" si="0"/>
        <v>26.029800000000002</v>
      </c>
      <c r="R11" s="11">
        <f t="shared" si="1"/>
        <v>26.029800000000002</v>
      </c>
      <c r="S11" s="11">
        <f t="shared" si="2"/>
        <v>446.96510000000001</v>
      </c>
      <c r="T11" s="11">
        <f t="shared" si="3"/>
        <v>399.58839999999998</v>
      </c>
      <c r="U11" s="11">
        <f t="shared" si="4"/>
        <v>80.748800000000003</v>
      </c>
      <c r="V11" s="11">
        <f t="shared" si="5"/>
        <v>80.748800000000003</v>
      </c>
    </row>
    <row r="12" spans="2:22" x14ac:dyDescent="0.3">
      <c r="B12" s="2">
        <v>-1</v>
      </c>
      <c r="C12" s="2" t="s">
        <v>46</v>
      </c>
      <c r="D12" s="2" t="s">
        <v>23</v>
      </c>
      <c r="E12" s="2" t="s">
        <v>24</v>
      </c>
      <c r="F12" s="2"/>
      <c r="G12" s="2" t="s">
        <v>16</v>
      </c>
      <c r="H12" s="2">
        <v>-314.5992</v>
      </c>
      <c r="I12" s="2">
        <v>12.6816</v>
      </c>
      <c r="J12" s="2">
        <v>-0.30309999999999998</v>
      </c>
      <c r="K12" s="2">
        <v>-1.4500000000000001E-2</v>
      </c>
      <c r="L12" s="2">
        <v>0.44109999999999999</v>
      </c>
      <c r="M12" s="2">
        <v>-94.8506</v>
      </c>
      <c r="O12" s="9" t="s">
        <v>47</v>
      </c>
      <c r="P12" s="9" t="s">
        <v>22</v>
      </c>
      <c r="Q12" s="11">
        <f t="shared" si="0"/>
        <v>17.0077</v>
      </c>
      <c r="R12" s="11">
        <f t="shared" si="1"/>
        <v>17.0077</v>
      </c>
      <c r="S12" s="11">
        <f t="shared" si="2"/>
        <v>67.193299999999994</v>
      </c>
      <c r="T12" s="11">
        <f t="shared" si="3"/>
        <v>23.9298</v>
      </c>
      <c r="U12" s="11">
        <f t="shared" si="4"/>
        <v>99.383700000000005</v>
      </c>
      <c r="V12" s="11">
        <f t="shared" si="5"/>
        <v>99.383700000000005</v>
      </c>
    </row>
    <row r="13" spans="2:22" x14ac:dyDescent="0.3">
      <c r="B13" s="2">
        <v>-1</v>
      </c>
      <c r="C13" s="2" t="s">
        <v>46</v>
      </c>
      <c r="D13" s="2" t="s">
        <v>23</v>
      </c>
      <c r="E13" s="2" t="s">
        <v>24</v>
      </c>
      <c r="F13" s="2"/>
      <c r="G13" s="2" t="s">
        <v>17</v>
      </c>
      <c r="H13" s="2">
        <v>-326.76510000000002</v>
      </c>
      <c r="I13" s="2">
        <v>12.6816</v>
      </c>
      <c r="J13" s="2">
        <v>-0.30309999999999998</v>
      </c>
      <c r="K13" s="2">
        <v>-1.4500000000000001E-2</v>
      </c>
      <c r="L13" s="2">
        <v>-0.34710000000000002</v>
      </c>
      <c r="M13" s="2">
        <v>-61.878399999999999</v>
      </c>
      <c r="O13" s="9" t="s">
        <v>48</v>
      </c>
      <c r="P13" s="9" t="s">
        <v>14</v>
      </c>
      <c r="Q13" s="11">
        <f t="shared" si="0"/>
        <v>7.2934000000000001</v>
      </c>
      <c r="R13" s="11">
        <f t="shared" si="1"/>
        <v>7.2934000000000001</v>
      </c>
      <c r="S13" s="11">
        <f t="shared" si="2"/>
        <v>-14.655799999999999</v>
      </c>
      <c r="T13" s="11">
        <f t="shared" si="3"/>
        <v>-33.618699999999997</v>
      </c>
      <c r="U13" s="11">
        <f t="shared" si="4"/>
        <v>-206.28</v>
      </c>
      <c r="V13" s="11">
        <f t="shared" si="5"/>
        <v>-212.29249999999999</v>
      </c>
    </row>
    <row r="14" spans="2:22" x14ac:dyDescent="0.3">
      <c r="B14" s="2">
        <v>-1</v>
      </c>
      <c r="C14" s="2" t="s">
        <v>46</v>
      </c>
      <c r="D14" s="2" t="s">
        <v>25</v>
      </c>
      <c r="E14" s="2" t="s">
        <v>24</v>
      </c>
      <c r="F14" s="2"/>
      <c r="G14" s="2" t="s">
        <v>16</v>
      </c>
      <c r="H14" s="2">
        <v>-356.11329999999998</v>
      </c>
      <c r="I14" s="2">
        <v>13.067399999999999</v>
      </c>
      <c r="J14" s="2">
        <v>-0.67379999999999995</v>
      </c>
      <c r="K14" s="2">
        <v>-0.28549999999999998</v>
      </c>
      <c r="L14" s="2">
        <v>1.0105</v>
      </c>
      <c r="M14" s="2">
        <v>-97.580600000000004</v>
      </c>
      <c r="O14" s="9" t="s">
        <v>48</v>
      </c>
      <c r="P14" s="9" t="s">
        <v>18</v>
      </c>
      <c r="Q14" s="11">
        <f t="shared" si="0"/>
        <v>-1.3471</v>
      </c>
      <c r="R14" s="11">
        <f t="shared" si="1"/>
        <v>-1.3471</v>
      </c>
      <c r="S14" s="11">
        <f t="shared" si="2"/>
        <v>-3.7997000000000001</v>
      </c>
      <c r="T14" s="11">
        <f t="shared" si="3"/>
        <v>-7.3022</v>
      </c>
      <c r="U14" s="11">
        <f t="shared" si="4"/>
        <v>-46.375900000000001</v>
      </c>
      <c r="V14" s="11">
        <f t="shared" si="5"/>
        <v>-46.375900000000001</v>
      </c>
    </row>
    <row r="15" spans="2:22" x14ac:dyDescent="0.3">
      <c r="B15" s="2">
        <v>-1</v>
      </c>
      <c r="C15" s="2" t="s">
        <v>46</v>
      </c>
      <c r="D15" s="2" t="s">
        <v>25</v>
      </c>
      <c r="E15" s="2" t="s">
        <v>24</v>
      </c>
      <c r="F15" s="2"/>
      <c r="G15" s="2" t="s">
        <v>17</v>
      </c>
      <c r="H15" s="2">
        <v>-366.5412</v>
      </c>
      <c r="I15" s="2">
        <v>13.067399999999999</v>
      </c>
      <c r="J15" s="2">
        <v>-0.67379999999999995</v>
      </c>
      <c r="K15" s="2">
        <v>-0.28549999999999998</v>
      </c>
      <c r="L15" s="2">
        <v>-0.74150000000000005</v>
      </c>
      <c r="M15" s="2">
        <v>-63.605499999999999</v>
      </c>
      <c r="O15" s="9" t="s">
        <v>48</v>
      </c>
      <c r="P15" s="9" t="s">
        <v>19</v>
      </c>
      <c r="Q15" s="11">
        <f t="shared" si="0"/>
        <v>7.1407999999999996</v>
      </c>
      <c r="R15" s="11">
        <f t="shared" si="1"/>
        <v>7.1407999999999996</v>
      </c>
      <c r="S15" s="11">
        <f t="shared" si="2"/>
        <v>22.606200000000001</v>
      </c>
      <c r="T15" s="11">
        <f t="shared" si="3"/>
        <v>6.0701000000000001</v>
      </c>
      <c r="U15" s="11">
        <f t="shared" si="4"/>
        <v>36.364400000000003</v>
      </c>
      <c r="V15" s="11">
        <f t="shared" si="5"/>
        <v>36.364400000000003</v>
      </c>
    </row>
    <row r="16" spans="2:22" x14ac:dyDescent="0.3">
      <c r="B16" s="2">
        <v>-1</v>
      </c>
      <c r="C16" s="2" t="s">
        <v>46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-135.12350000000001</v>
      </c>
      <c r="I16" s="2">
        <v>26.9421</v>
      </c>
      <c r="J16" s="2">
        <v>0.18360000000000001</v>
      </c>
      <c r="K16" s="2">
        <v>3.3000000000000002E-2</v>
      </c>
      <c r="L16" s="2">
        <v>0.92859999999999998</v>
      </c>
      <c r="M16" s="2">
        <v>390.44869999999997</v>
      </c>
      <c r="O16" s="9" t="s">
        <v>48</v>
      </c>
      <c r="P16" s="9" t="s">
        <v>22</v>
      </c>
      <c r="Q16" s="11">
        <f t="shared" si="0"/>
        <v>6.4184000000000001</v>
      </c>
      <c r="R16" s="11">
        <f t="shared" si="1"/>
        <v>6.4184000000000001</v>
      </c>
      <c r="S16" s="11">
        <f t="shared" si="2"/>
        <v>69.269800000000004</v>
      </c>
      <c r="T16" s="11">
        <f t="shared" si="3"/>
        <v>64.852500000000006</v>
      </c>
      <c r="U16" s="11">
        <f t="shared" si="4"/>
        <v>12.819100000000001</v>
      </c>
      <c r="V16" s="11">
        <f t="shared" si="5"/>
        <v>12.819100000000001</v>
      </c>
    </row>
    <row r="17" spans="2:22" x14ac:dyDescent="0.3">
      <c r="B17" s="2">
        <v>-1</v>
      </c>
      <c r="C17" s="2" t="s">
        <v>46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-142.9444</v>
      </c>
      <c r="I17" s="2">
        <v>26.9421</v>
      </c>
      <c r="J17" s="2">
        <v>0.18360000000000001</v>
      </c>
      <c r="K17" s="2">
        <v>3.3000000000000002E-2</v>
      </c>
      <c r="L17" s="2">
        <v>0.1187</v>
      </c>
      <c r="M17" s="2">
        <v>426.96409999999997</v>
      </c>
      <c r="O17" s="9" t="s">
        <v>52</v>
      </c>
      <c r="P17" s="9" t="s">
        <v>14</v>
      </c>
      <c r="Q17" s="11">
        <f t="shared" si="0"/>
        <v>20.1401</v>
      </c>
      <c r="R17" s="11">
        <f t="shared" si="1"/>
        <v>20.1401</v>
      </c>
      <c r="S17" s="11">
        <f t="shared" si="2"/>
        <v>-4.7388000000000003</v>
      </c>
      <c r="T17" s="11">
        <f t="shared" si="3"/>
        <v>-57.103000000000002</v>
      </c>
      <c r="U17" s="11">
        <f t="shared" si="4"/>
        <v>-174.8869</v>
      </c>
      <c r="V17" s="11">
        <f t="shared" si="5"/>
        <v>-181.74440000000001</v>
      </c>
    </row>
    <row r="18" spans="2:22" x14ac:dyDescent="0.3">
      <c r="B18" s="2">
        <v>-1</v>
      </c>
      <c r="C18" s="2" t="s">
        <v>46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-269.3612</v>
      </c>
      <c r="I18" s="2">
        <v>-10.6372</v>
      </c>
      <c r="J18" s="2">
        <v>-0.57330000000000003</v>
      </c>
      <c r="K18" s="2">
        <v>-5.16E-2</v>
      </c>
      <c r="L18" s="2">
        <v>-0.36149999999999999</v>
      </c>
      <c r="M18" s="2">
        <v>-512.39949999999999</v>
      </c>
      <c r="O18" s="9" t="s">
        <v>52</v>
      </c>
      <c r="P18" s="9" t="s">
        <v>18</v>
      </c>
      <c r="Q18" s="11">
        <f t="shared" si="0"/>
        <v>1.9641999999999999</v>
      </c>
      <c r="R18" s="11">
        <f t="shared" si="1"/>
        <v>1.9641999999999999</v>
      </c>
      <c r="S18" s="11">
        <f t="shared" si="2"/>
        <v>-5.5900999999999996</v>
      </c>
      <c r="T18" s="11">
        <f t="shared" si="3"/>
        <v>-10.697100000000001</v>
      </c>
      <c r="U18" s="11">
        <f t="shared" si="4"/>
        <v>-36.448099999999997</v>
      </c>
      <c r="V18" s="11">
        <f t="shared" si="5"/>
        <v>-36.448099999999997</v>
      </c>
    </row>
    <row r="19" spans="2:22" x14ac:dyDescent="0.3">
      <c r="B19" s="2">
        <v>-1</v>
      </c>
      <c r="C19" s="2" t="s">
        <v>46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-277.18209999999999</v>
      </c>
      <c r="I19" s="2">
        <v>-10.6372</v>
      </c>
      <c r="J19" s="2">
        <v>-0.57330000000000003</v>
      </c>
      <c r="K19" s="2">
        <v>-5.16E-2</v>
      </c>
      <c r="L19" s="2">
        <v>-0.56489999999999996</v>
      </c>
      <c r="M19" s="2">
        <v>-506.52199999999999</v>
      </c>
      <c r="O19" s="9" t="s">
        <v>52</v>
      </c>
      <c r="P19" s="9" t="s">
        <v>19</v>
      </c>
      <c r="Q19" s="11">
        <f t="shared" si="0"/>
        <v>13.635899999999999</v>
      </c>
      <c r="R19" s="11">
        <f t="shared" si="1"/>
        <v>13.635899999999999</v>
      </c>
      <c r="S19" s="11">
        <f t="shared" si="2"/>
        <v>23.6282</v>
      </c>
      <c r="T19" s="11">
        <f t="shared" si="3"/>
        <v>14.8871</v>
      </c>
      <c r="U19" s="11">
        <f t="shared" si="4"/>
        <v>228.95050000000001</v>
      </c>
      <c r="V19" s="11">
        <f t="shared" si="5"/>
        <v>228.95050000000001</v>
      </c>
    </row>
    <row r="20" spans="2:22" x14ac:dyDescent="0.3">
      <c r="B20" s="2">
        <v>-1</v>
      </c>
      <c r="C20" s="2" t="s">
        <v>46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-256.57310000000001</v>
      </c>
      <c r="I20" s="2">
        <v>31.033000000000001</v>
      </c>
      <c r="J20" s="2">
        <v>-0.14019999999999999</v>
      </c>
      <c r="K20" s="2">
        <v>-0.14080000000000001</v>
      </c>
      <c r="L20" s="2">
        <v>1.4184000000000001</v>
      </c>
      <c r="M20" s="2">
        <v>359.94850000000002</v>
      </c>
      <c r="O20" s="9" t="s">
        <v>52</v>
      </c>
      <c r="P20" s="9" t="s">
        <v>22</v>
      </c>
      <c r="Q20" s="11">
        <f t="shared" si="0"/>
        <v>27.8599</v>
      </c>
      <c r="R20" s="11">
        <f t="shared" si="1"/>
        <v>27.8599</v>
      </c>
      <c r="S20" s="11">
        <f t="shared" si="2"/>
        <v>44.6753</v>
      </c>
      <c r="T20" s="11">
        <f t="shared" si="3"/>
        <v>29.712800000000001</v>
      </c>
      <c r="U20" s="11">
        <f t="shared" si="4"/>
        <v>18.403199999999998</v>
      </c>
      <c r="V20" s="11">
        <f t="shared" si="5"/>
        <v>18.403199999999998</v>
      </c>
    </row>
    <row r="21" spans="2:22" x14ac:dyDescent="0.3">
      <c r="B21" s="2">
        <v>-1</v>
      </c>
      <c r="C21" s="2" t="s">
        <v>46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-267.00099999999998</v>
      </c>
      <c r="I21" s="2">
        <v>31.033000000000001</v>
      </c>
      <c r="J21" s="2">
        <v>-0.14019999999999999</v>
      </c>
      <c r="K21" s="2">
        <v>-0.14080000000000001</v>
      </c>
      <c r="L21" s="2">
        <v>-0.23319999999999999</v>
      </c>
      <c r="M21" s="2">
        <v>407.1001</v>
      </c>
    </row>
    <row r="22" spans="2:22" x14ac:dyDescent="0.3">
      <c r="B22" s="2">
        <v>-1</v>
      </c>
      <c r="C22" s="2" t="s">
        <v>46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-390.81079999999997</v>
      </c>
      <c r="I22" s="2">
        <v>-6.5462999999999996</v>
      </c>
      <c r="J22" s="2">
        <v>-0.89700000000000002</v>
      </c>
      <c r="K22" s="2">
        <v>-0.22539999999999999</v>
      </c>
      <c r="L22" s="2">
        <v>0.1283</v>
      </c>
      <c r="M22" s="2">
        <v>-542.89970000000005</v>
      </c>
    </row>
    <row r="23" spans="2:22" x14ac:dyDescent="0.3">
      <c r="B23" s="2">
        <v>-1</v>
      </c>
      <c r="C23" s="2" t="s">
        <v>46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-401.23869999999999</v>
      </c>
      <c r="I23" s="2">
        <v>-6.5462999999999996</v>
      </c>
      <c r="J23" s="2">
        <v>-0.89700000000000002</v>
      </c>
      <c r="K23" s="2">
        <v>-0.22539999999999999</v>
      </c>
      <c r="L23" s="2">
        <v>-0.91679999999999995</v>
      </c>
      <c r="M23" s="2">
        <v>-526.38599999999997</v>
      </c>
    </row>
    <row r="24" spans="2:22" x14ac:dyDescent="0.3">
      <c r="B24" s="2">
        <v>-1</v>
      </c>
      <c r="C24" s="2" t="s">
        <v>46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-106.9755</v>
      </c>
      <c r="I24" s="2">
        <v>21.519300000000001</v>
      </c>
      <c r="J24" s="2">
        <v>-0.13500000000000001</v>
      </c>
      <c r="K24" s="2">
        <v>0.224</v>
      </c>
      <c r="L24" s="2">
        <v>0.98229999999999995</v>
      </c>
      <c r="M24" s="2">
        <v>2.2147999999999999</v>
      </c>
    </row>
    <row r="25" spans="2:22" x14ac:dyDescent="0.3">
      <c r="B25" s="2">
        <v>-1</v>
      </c>
      <c r="C25" s="2" t="s">
        <v>46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-117.4034</v>
      </c>
      <c r="I25" s="2">
        <v>21.519300000000001</v>
      </c>
      <c r="J25" s="2">
        <v>-0.13500000000000001</v>
      </c>
      <c r="K25" s="2">
        <v>0.224</v>
      </c>
      <c r="L25" s="2">
        <v>0.36820000000000003</v>
      </c>
      <c r="M25" s="2">
        <v>10.529</v>
      </c>
    </row>
    <row r="26" spans="2:22" x14ac:dyDescent="0.3">
      <c r="B26" s="2">
        <v>-1</v>
      </c>
      <c r="C26" s="2" t="s">
        <v>46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-540.40840000000003</v>
      </c>
      <c r="I26" s="2">
        <v>2.9672999999999998</v>
      </c>
      <c r="J26" s="2">
        <v>-0.9022</v>
      </c>
      <c r="K26" s="2">
        <v>-0.59019999999999995</v>
      </c>
      <c r="L26" s="2">
        <v>0.56430000000000002</v>
      </c>
      <c r="M26" s="2">
        <v>-185.166</v>
      </c>
    </row>
    <row r="27" spans="2:22" x14ac:dyDescent="0.3">
      <c r="B27" s="2">
        <v>-1</v>
      </c>
      <c r="C27" s="2" t="s">
        <v>46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-550.83630000000005</v>
      </c>
      <c r="I27" s="2">
        <v>2.9672999999999998</v>
      </c>
      <c r="J27" s="2">
        <v>-0.9022</v>
      </c>
      <c r="K27" s="2">
        <v>-0.59019999999999995</v>
      </c>
      <c r="L27" s="2">
        <v>-1.5183</v>
      </c>
      <c r="M27" s="2">
        <v>-129.81489999999999</v>
      </c>
    </row>
    <row r="28" spans="2:22" x14ac:dyDescent="0.3">
      <c r="B28" s="2">
        <v>-1</v>
      </c>
      <c r="C28" s="2" t="s">
        <v>46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14.4741</v>
      </c>
      <c r="I28" s="2">
        <v>31.033000000000001</v>
      </c>
      <c r="J28" s="2">
        <v>0.18870000000000001</v>
      </c>
      <c r="K28" s="2">
        <v>0.39779999999999999</v>
      </c>
      <c r="L28" s="2">
        <v>1.4184000000000001</v>
      </c>
      <c r="M28" s="2">
        <v>390.44869999999997</v>
      </c>
    </row>
    <row r="29" spans="2:22" x14ac:dyDescent="0.3">
      <c r="B29" s="2">
        <v>-1</v>
      </c>
      <c r="C29" s="2" t="s">
        <v>46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6.6532</v>
      </c>
      <c r="I29" s="2">
        <v>31.033000000000001</v>
      </c>
      <c r="J29" s="2">
        <v>0.18870000000000001</v>
      </c>
      <c r="K29" s="2">
        <v>0.39779999999999999</v>
      </c>
      <c r="L29" s="2">
        <v>0.72009999999999996</v>
      </c>
      <c r="M29" s="2">
        <v>426.96409999999997</v>
      </c>
    </row>
    <row r="30" spans="2:22" x14ac:dyDescent="0.3">
      <c r="B30" s="2">
        <v>-1</v>
      </c>
      <c r="C30" s="2" t="s">
        <v>46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-540.40840000000003</v>
      </c>
      <c r="I30" s="2">
        <v>-10.6372</v>
      </c>
      <c r="J30" s="2">
        <v>-0.9022</v>
      </c>
      <c r="K30" s="2">
        <v>-0.59019999999999995</v>
      </c>
      <c r="L30" s="2">
        <v>-0.36149999999999999</v>
      </c>
      <c r="M30" s="2">
        <v>-542.89970000000005</v>
      </c>
    </row>
    <row r="31" spans="2:22" x14ac:dyDescent="0.3">
      <c r="B31" s="2">
        <v>-1</v>
      </c>
      <c r="C31" s="2" t="s">
        <v>46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-550.83630000000005</v>
      </c>
      <c r="I31" s="2">
        <v>-10.6372</v>
      </c>
      <c r="J31" s="2">
        <v>-0.9022</v>
      </c>
      <c r="K31" s="2">
        <v>-0.59019999999999995</v>
      </c>
      <c r="L31" s="2">
        <v>-1.5183</v>
      </c>
      <c r="M31" s="2">
        <v>-526.38599999999997</v>
      </c>
    </row>
    <row r="32" spans="2:22" x14ac:dyDescent="0.3">
      <c r="B32" s="2">
        <v>-1</v>
      </c>
      <c r="C32" s="2" t="s">
        <v>46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14.4741</v>
      </c>
      <c r="I32" s="2">
        <v>17.4285</v>
      </c>
      <c r="J32" s="2">
        <v>0.18870000000000001</v>
      </c>
      <c r="K32" s="2">
        <v>0.39779999999999999</v>
      </c>
      <c r="L32" s="2">
        <v>0.49259999999999998</v>
      </c>
      <c r="M32" s="2">
        <v>32.715000000000003</v>
      </c>
    </row>
    <row r="33" spans="2:13" x14ac:dyDescent="0.3">
      <c r="B33" s="2">
        <v>-1</v>
      </c>
      <c r="C33" s="2" t="s">
        <v>46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6.6532</v>
      </c>
      <c r="I33" s="2">
        <v>17.4285</v>
      </c>
      <c r="J33" s="2">
        <v>0.18870000000000001</v>
      </c>
      <c r="K33" s="2">
        <v>0.39779999999999999</v>
      </c>
      <c r="L33" s="2">
        <v>0.72009999999999996</v>
      </c>
      <c r="M33" s="2">
        <v>30.393000000000001</v>
      </c>
    </row>
    <row r="34" spans="2:13" x14ac:dyDescent="0.3">
      <c r="B34" s="2">
        <v>-1</v>
      </c>
      <c r="C34" s="2" t="s">
        <v>46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-418.9588</v>
      </c>
      <c r="I34" s="2">
        <v>-1.1234999999999999</v>
      </c>
      <c r="J34" s="2">
        <v>-0.57850000000000001</v>
      </c>
      <c r="K34" s="2">
        <v>-0.41639999999999999</v>
      </c>
      <c r="L34" s="2">
        <v>7.46E-2</v>
      </c>
      <c r="M34" s="2">
        <v>-154.66579999999999</v>
      </c>
    </row>
    <row r="35" spans="2:13" x14ac:dyDescent="0.3">
      <c r="B35" s="2">
        <v>-1</v>
      </c>
      <c r="C35" s="2" t="s">
        <v>46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-426.77969999999999</v>
      </c>
      <c r="I35" s="2">
        <v>-1.1234999999999999</v>
      </c>
      <c r="J35" s="2">
        <v>-0.57850000000000001</v>
      </c>
      <c r="K35" s="2">
        <v>-0.41639999999999999</v>
      </c>
      <c r="L35" s="2">
        <v>-1.1664000000000001</v>
      </c>
      <c r="M35" s="2">
        <v>-109.9509</v>
      </c>
    </row>
    <row r="36" spans="2:13" x14ac:dyDescent="0.3">
      <c r="B36" s="2">
        <v>-1</v>
      </c>
      <c r="C36" s="2" t="s">
        <v>46</v>
      </c>
      <c r="D36" s="2" t="s">
        <v>32</v>
      </c>
      <c r="E36" s="2" t="s">
        <v>24</v>
      </c>
      <c r="F36" s="2"/>
      <c r="G36" s="2" t="s">
        <v>16</v>
      </c>
      <c r="H36" s="2">
        <v>-278.74919999999997</v>
      </c>
      <c r="I36" s="2">
        <v>10.431699999999999</v>
      </c>
      <c r="J36" s="2">
        <v>-0.4753</v>
      </c>
      <c r="K36" s="2">
        <v>-0.18099999999999999</v>
      </c>
      <c r="L36" s="2">
        <v>0.71030000000000004</v>
      </c>
      <c r="M36" s="2">
        <v>-77.9255</v>
      </c>
    </row>
    <row r="37" spans="2:13" x14ac:dyDescent="0.3">
      <c r="B37" s="2">
        <v>-1</v>
      </c>
      <c r="C37" s="2" t="s">
        <v>46</v>
      </c>
      <c r="D37" s="2" t="s">
        <v>32</v>
      </c>
      <c r="E37" s="2" t="s">
        <v>24</v>
      </c>
      <c r="F37" s="2"/>
      <c r="G37" s="2" t="s">
        <v>17</v>
      </c>
      <c r="H37" s="2">
        <v>-287.4391</v>
      </c>
      <c r="I37" s="2">
        <v>10.431699999999999</v>
      </c>
      <c r="J37" s="2">
        <v>-0.4753</v>
      </c>
      <c r="K37" s="2">
        <v>-0.18099999999999999</v>
      </c>
      <c r="L37" s="2">
        <v>-0.52539999999999998</v>
      </c>
      <c r="M37" s="2">
        <v>-50.803199999999997</v>
      </c>
    </row>
    <row r="38" spans="2:13" x14ac:dyDescent="0.3">
      <c r="B38" s="2">
        <v>-1</v>
      </c>
      <c r="C38" s="2" t="s">
        <v>47</v>
      </c>
      <c r="D38" s="2" t="s">
        <v>14</v>
      </c>
      <c r="E38" s="2" t="s">
        <v>15</v>
      </c>
      <c r="F38" s="2"/>
      <c r="G38" s="2" t="s">
        <v>16</v>
      </c>
      <c r="H38" s="2">
        <v>-379.60899999999998</v>
      </c>
      <c r="I38" s="2">
        <v>-0.67049999999999998</v>
      </c>
      <c r="J38" s="2">
        <v>6.4500000000000002E-2</v>
      </c>
      <c r="K38" s="2">
        <v>-0.38769999999999999</v>
      </c>
      <c r="L38" s="2">
        <v>-0.1721</v>
      </c>
      <c r="M38" s="2">
        <v>-16.274000000000001</v>
      </c>
    </row>
    <row r="39" spans="2:13" x14ac:dyDescent="0.3">
      <c r="B39" s="2">
        <v>-1</v>
      </c>
      <c r="C39" s="2" t="s">
        <v>47</v>
      </c>
      <c r="D39" s="2" t="s">
        <v>14</v>
      </c>
      <c r="E39" s="2" t="s">
        <v>15</v>
      </c>
      <c r="F39" s="2"/>
      <c r="G39" s="2" t="s">
        <v>17</v>
      </c>
      <c r="H39" s="2">
        <v>-388.29840000000002</v>
      </c>
      <c r="I39" s="2">
        <v>-0.67049999999999998</v>
      </c>
      <c r="J39" s="2">
        <v>6.4500000000000002E-2</v>
      </c>
      <c r="K39" s="2">
        <v>-0.38769999999999999</v>
      </c>
      <c r="L39" s="2">
        <v>-4.3E-3</v>
      </c>
      <c r="M39" s="2">
        <v>-18.017299999999999</v>
      </c>
    </row>
    <row r="40" spans="2:13" x14ac:dyDescent="0.3">
      <c r="B40" s="2">
        <v>-1</v>
      </c>
      <c r="C40" s="2" t="s">
        <v>47</v>
      </c>
      <c r="D40" s="2" t="s">
        <v>18</v>
      </c>
      <c r="E40" s="2" t="s">
        <v>15</v>
      </c>
      <c r="F40" s="2"/>
      <c r="G40" s="2" t="s">
        <v>16</v>
      </c>
      <c r="H40" s="2">
        <v>-84.730400000000003</v>
      </c>
      <c r="I40" s="2">
        <v>0.94240000000000002</v>
      </c>
      <c r="J40" s="2">
        <v>-4.8599999999999997E-2</v>
      </c>
      <c r="K40" s="2">
        <v>-7.0000000000000007E-2</v>
      </c>
      <c r="L40" s="2">
        <v>3.1E-2</v>
      </c>
      <c r="M40" s="2">
        <v>-5.1584000000000003</v>
      </c>
    </row>
    <row r="41" spans="2:13" x14ac:dyDescent="0.3">
      <c r="B41" s="2">
        <v>-1</v>
      </c>
      <c r="C41" s="2" t="s">
        <v>47</v>
      </c>
      <c r="D41" s="2" t="s">
        <v>18</v>
      </c>
      <c r="E41" s="2" t="s">
        <v>15</v>
      </c>
      <c r="F41" s="2"/>
      <c r="G41" s="2" t="s">
        <v>17</v>
      </c>
      <c r="H41" s="2">
        <v>-84.730400000000003</v>
      </c>
      <c r="I41" s="2">
        <v>0.94240000000000002</v>
      </c>
      <c r="J41" s="2">
        <v>-4.8599999999999997E-2</v>
      </c>
      <c r="K41" s="2">
        <v>-7.0000000000000007E-2</v>
      </c>
      <c r="L41" s="2">
        <v>-9.5399999999999999E-2</v>
      </c>
      <c r="M41" s="2">
        <v>-2.7081</v>
      </c>
    </row>
    <row r="42" spans="2:13" x14ac:dyDescent="0.3">
      <c r="B42" s="2">
        <v>-1</v>
      </c>
      <c r="C42" s="2" t="s">
        <v>47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80.748800000000003</v>
      </c>
      <c r="I42" s="2">
        <v>26.029800000000002</v>
      </c>
      <c r="J42" s="2">
        <v>0.14380000000000001</v>
      </c>
      <c r="K42" s="2">
        <v>0.31740000000000002</v>
      </c>
      <c r="L42" s="2">
        <v>0.23799999999999999</v>
      </c>
      <c r="M42" s="2">
        <v>446.96510000000001</v>
      </c>
    </row>
    <row r="43" spans="2:13" x14ac:dyDescent="0.3">
      <c r="B43" s="2">
        <v>-1</v>
      </c>
      <c r="C43" s="2" t="s">
        <v>47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80.748800000000003</v>
      </c>
      <c r="I43" s="2">
        <v>26.029800000000002</v>
      </c>
      <c r="J43" s="2">
        <v>0.14380000000000001</v>
      </c>
      <c r="K43" s="2">
        <v>0.31740000000000002</v>
      </c>
      <c r="L43" s="2">
        <v>0.14050000000000001</v>
      </c>
      <c r="M43" s="2">
        <v>399.58839999999998</v>
      </c>
    </row>
    <row r="44" spans="2:13" x14ac:dyDescent="0.3">
      <c r="B44" s="2">
        <v>-1</v>
      </c>
      <c r="C44" s="2" t="s">
        <v>47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99.383700000000005</v>
      </c>
      <c r="I44" s="2">
        <v>17.0077</v>
      </c>
      <c r="J44" s="2">
        <v>0.17349999999999999</v>
      </c>
      <c r="K44" s="2">
        <v>1.0775999999999999</v>
      </c>
      <c r="L44" s="2">
        <v>0.31609999999999999</v>
      </c>
      <c r="M44" s="2">
        <v>67.193299999999994</v>
      </c>
    </row>
    <row r="45" spans="2:13" x14ac:dyDescent="0.3">
      <c r="B45" s="2">
        <v>-1</v>
      </c>
      <c r="C45" s="2" t="s">
        <v>47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99.383700000000005</v>
      </c>
      <c r="I45" s="2">
        <v>17.0077</v>
      </c>
      <c r="J45" s="2">
        <v>0.17349999999999999</v>
      </c>
      <c r="K45" s="2">
        <v>1.0775999999999999</v>
      </c>
      <c r="L45" s="2">
        <v>0.57589999999999997</v>
      </c>
      <c r="M45" s="2">
        <v>23.9298</v>
      </c>
    </row>
    <row r="46" spans="2:13" x14ac:dyDescent="0.3">
      <c r="B46" s="2">
        <v>-1</v>
      </c>
      <c r="C46" s="2" t="s">
        <v>47</v>
      </c>
      <c r="D46" s="2" t="s">
        <v>23</v>
      </c>
      <c r="E46" s="2" t="s">
        <v>24</v>
      </c>
      <c r="F46" s="2"/>
      <c r="G46" s="2" t="s">
        <v>16</v>
      </c>
      <c r="H46" s="2">
        <v>-531.45259999999996</v>
      </c>
      <c r="I46" s="2">
        <v>-0.93869999999999998</v>
      </c>
      <c r="J46" s="2">
        <v>9.0300000000000005E-2</v>
      </c>
      <c r="K46" s="2">
        <v>-0.54269999999999996</v>
      </c>
      <c r="L46" s="2">
        <v>-0.2409</v>
      </c>
      <c r="M46" s="2">
        <v>-22.7836</v>
      </c>
    </row>
    <row r="47" spans="2:13" x14ac:dyDescent="0.3">
      <c r="B47" s="2">
        <v>-1</v>
      </c>
      <c r="C47" s="2" t="s">
        <v>47</v>
      </c>
      <c r="D47" s="2" t="s">
        <v>23</v>
      </c>
      <c r="E47" s="2" t="s">
        <v>24</v>
      </c>
      <c r="F47" s="2"/>
      <c r="G47" s="2" t="s">
        <v>17</v>
      </c>
      <c r="H47" s="2">
        <v>-543.61770000000001</v>
      </c>
      <c r="I47" s="2">
        <v>-0.93869999999999998</v>
      </c>
      <c r="J47" s="2">
        <v>9.0300000000000005E-2</v>
      </c>
      <c r="K47" s="2">
        <v>-0.54269999999999996</v>
      </c>
      <c r="L47" s="2">
        <v>-6.1000000000000004E-3</v>
      </c>
      <c r="M47" s="2">
        <v>-25.2242</v>
      </c>
    </row>
    <row r="48" spans="2:13" x14ac:dyDescent="0.3">
      <c r="B48" s="2">
        <v>-1</v>
      </c>
      <c r="C48" s="2" t="s">
        <v>47</v>
      </c>
      <c r="D48" s="2" t="s">
        <v>25</v>
      </c>
      <c r="E48" s="2" t="s">
        <v>24</v>
      </c>
      <c r="F48" s="2"/>
      <c r="G48" s="2" t="s">
        <v>16</v>
      </c>
      <c r="H48" s="2">
        <v>-591.09939999999995</v>
      </c>
      <c r="I48" s="2">
        <v>0.70330000000000004</v>
      </c>
      <c r="J48" s="2">
        <v>-4.0000000000000002E-4</v>
      </c>
      <c r="K48" s="2">
        <v>-0.57720000000000005</v>
      </c>
      <c r="L48" s="2">
        <v>-0.15679999999999999</v>
      </c>
      <c r="M48" s="2">
        <v>-27.7822</v>
      </c>
    </row>
    <row r="49" spans="2:13" x14ac:dyDescent="0.3">
      <c r="B49" s="2">
        <v>-1</v>
      </c>
      <c r="C49" s="2" t="s">
        <v>47</v>
      </c>
      <c r="D49" s="2" t="s">
        <v>25</v>
      </c>
      <c r="E49" s="2" t="s">
        <v>24</v>
      </c>
      <c r="F49" s="2"/>
      <c r="G49" s="2" t="s">
        <v>17</v>
      </c>
      <c r="H49" s="2">
        <v>-601.52660000000003</v>
      </c>
      <c r="I49" s="2">
        <v>0.70330000000000004</v>
      </c>
      <c r="J49" s="2">
        <v>-4.0000000000000002E-4</v>
      </c>
      <c r="K49" s="2">
        <v>-0.57720000000000005</v>
      </c>
      <c r="L49" s="2">
        <v>-0.15790000000000001</v>
      </c>
      <c r="M49" s="2">
        <v>-25.953700000000001</v>
      </c>
    </row>
    <row r="50" spans="2:13" x14ac:dyDescent="0.3">
      <c r="B50" s="2">
        <v>-1</v>
      </c>
      <c r="C50" s="2" t="s">
        <v>47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-228.59979999999999</v>
      </c>
      <c r="I50" s="2">
        <v>35.838299999999997</v>
      </c>
      <c r="J50" s="2">
        <v>0.25940000000000002</v>
      </c>
      <c r="K50" s="2">
        <v>9.5399999999999999E-2</v>
      </c>
      <c r="L50" s="2">
        <v>0.17829999999999999</v>
      </c>
      <c r="M50" s="2">
        <v>611.1046</v>
      </c>
    </row>
    <row r="51" spans="2:13" x14ac:dyDescent="0.3">
      <c r="B51" s="2">
        <v>-1</v>
      </c>
      <c r="C51" s="2" t="s">
        <v>47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-236.42019999999999</v>
      </c>
      <c r="I51" s="2">
        <v>35.838299999999997</v>
      </c>
      <c r="J51" s="2">
        <v>0.25940000000000002</v>
      </c>
      <c r="K51" s="2">
        <v>9.5399999999999999E-2</v>
      </c>
      <c r="L51" s="2">
        <v>0.1928</v>
      </c>
      <c r="M51" s="2">
        <v>543.20830000000001</v>
      </c>
    </row>
    <row r="52" spans="2:13" x14ac:dyDescent="0.3">
      <c r="B52" s="2">
        <v>-1</v>
      </c>
      <c r="C52" s="2" t="s">
        <v>47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-454.69639999999998</v>
      </c>
      <c r="I52" s="2">
        <v>-37.045099999999998</v>
      </c>
      <c r="J52" s="2">
        <v>-0.14330000000000001</v>
      </c>
      <c r="K52" s="2">
        <v>-0.79320000000000002</v>
      </c>
      <c r="L52" s="2">
        <v>-0.48799999999999999</v>
      </c>
      <c r="M52" s="2">
        <v>-640.39779999999996</v>
      </c>
    </row>
    <row r="53" spans="2:13" x14ac:dyDescent="0.3">
      <c r="B53" s="2">
        <v>-1</v>
      </c>
      <c r="C53" s="2" t="s">
        <v>47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-462.51690000000002</v>
      </c>
      <c r="I53" s="2">
        <v>-37.045099999999998</v>
      </c>
      <c r="J53" s="2">
        <v>-0.14330000000000001</v>
      </c>
      <c r="K53" s="2">
        <v>-0.79320000000000002</v>
      </c>
      <c r="L53" s="2">
        <v>-0.2006</v>
      </c>
      <c r="M53" s="2">
        <v>-575.63930000000005</v>
      </c>
    </row>
    <row r="54" spans="2:13" x14ac:dyDescent="0.3">
      <c r="B54" s="2">
        <v>-1</v>
      </c>
      <c r="C54" s="2" t="s">
        <v>47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-427.21280000000002</v>
      </c>
      <c r="I54" s="2">
        <v>36.579500000000003</v>
      </c>
      <c r="J54" s="2">
        <v>0.2301</v>
      </c>
      <c r="K54" s="2">
        <v>-9.0899999999999995E-2</v>
      </c>
      <c r="L54" s="2">
        <v>0.15770000000000001</v>
      </c>
      <c r="M54" s="2">
        <v>601.06399999999996</v>
      </c>
    </row>
    <row r="55" spans="2:13" x14ac:dyDescent="0.3">
      <c r="B55" s="2">
        <v>-1</v>
      </c>
      <c r="C55" s="2" t="s">
        <v>47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-437.64010000000002</v>
      </c>
      <c r="I55" s="2">
        <v>36.579500000000003</v>
      </c>
      <c r="J55" s="2">
        <v>0.2301</v>
      </c>
      <c r="K55" s="2">
        <v>-9.0899999999999995E-2</v>
      </c>
      <c r="L55" s="2">
        <v>9.6100000000000005E-2</v>
      </c>
      <c r="M55" s="2">
        <v>535.09500000000003</v>
      </c>
    </row>
    <row r="56" spans="2:13" x14ac:dyDescent="0.3">
      <c r="B56" s="2">
        <v>-1</v>
      </c>
      <c r="C56" s="2" t="s">
        <v>47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-653.30949999999996</v>
      </c>
      <c r="I56" s="2">
        <v>-36.303899999999999</v>
      </c>
      <c r="J56" s="2">
        <v>-0.1726</v>
      </c>
      <c r="K56" s="2">
        <v>-0.97950000000000004</v>
      </c>
      <c r="L56" s="2">
        <v>-0.50860000000000005</v>
      </c>
      <c r="M56" s="2">
        <v>-650.4384</v>
      </c>
    </row>
    <row r="57" spans="2:13" x14ac:dyDescent="0.3">
      <c r="B57" s="2">
        <v>-1</v>
      </c>
      <c r="C57" s="2" t="s">
        <v>47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-663.73670000000004</v>
      </c>
      <c r="I57" s="2">
        <v>-36.303899999999999</v>
      </c>
      <c r="J57" s="2">
        <v>-0.1726</v>
      </c>
      <c r="K57" s="2">
        <v>-0.97950000000000004</v>
      </c>
      <c r="L57" s="2">
        <v>-0.29730000000000001</v>
      </c>
      <c r="M57" s="2">
        <v>-583.75260000000003</v>
      </c>
    </row>
    <row r="58" spans="2:13" x14ac:dyDescent="0.3">
      <c r="B58" s="2">
        <v>-1</v>
      </c>
      <c r="C58" s="2" t="s">
        <v>47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-401.12389999999999</v>
      </c>
      <c r="I58" s="2">
        <v>23.948599999999999</v>
      </c>
      <c r="J58" s="2">
        <v>0.2717</v>
      </c>
      <c r="K58" s="2">
        <v>0.97350000000000003</v>
      </c>
      <c r="L58" s="2">
        <v>0.2671</v>
      </c>
      <c r="M58" s="2">
        <v>69.383499999999998</v>
      </c>
    </row>
    <row r="59" spans="2:13" x14ac:dyDescent="0.3">
      <c r="B59" s="2">
        <v>-1</v>
      </c>
      <c r="C59" s="2" t="s">
        <v>47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-411.55119999999999</v>
      </c>
      <c r="I59" s="2">
        <v>23.948599999999999</v>
      </c>
      <c r="J59" s="2">
        <v>0.2717</v>
      </c>
      <c r="K59" s="2">
        <v>0.97350000000000003</v>
      </c>
      <c r="L59" s="2">
        <v>0.7056</v>
      </c>
      <c r="M59" s="2">
        <v>9.1728000000000005</v>
      </c>
    </row>
    <row r="60" spans="2:13" x14ac:dyDescent="0.3">
      <c r="B60" s="2">
        <v>-1</v>
      </c>
      <c r="C60" s="2" t="s">
        <v>47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-679.39840000000004</v>
      </c>
      <c r="I60" s="2">
        <v>-23.672899999999998</v>
      </c>
      <c r="J60" s="2">
        <v>-0.21410000000000001</v>
      </c>
      <c r="K60" s="2">
        <v>-2.0438999999999998</v>
      </c>
      <c r="L60" s="2">
        <v>-0.61799999999999999</v>
      </c>
      <c r="M60" s="2">
        <v>-118.75790000000001</v>
      </c>
    </row>
    <row r="61" spans="2:13" x14ac:dyDescent="0.3">
      <c r="B61" s="2">
        <v>-1</v>
      </c>
      <c r="C61" s="2" t="s">
        <v>47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-689.82560000000001</v>
      </c>
      <c r="I61" s="2">
        <v>-23.672899999999998</v>
      </c>
      <c r="J61" s="2">
        <v>-0.21410000000000001</v>
      </c>
      <c r="K61" s="2">
        <v>-2.0438999999999998</v>
      </c>
      <c r="L61" s="2">
        <v>-0.90680000000000005</v>
      </c>
      <c r="M61" s="2">
        <v>-57.830500000000001</v>
      </c>
    </row>
    <row r="62" spans="2:13" x14ac:dyDescent="0.3">
      <c r="B62" s="2">
        <v>-1</v>
      </c>
      <c r="C62" s="2" t="s">
        <v>47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-202.51089999999999</v>
      </c>
      <c r="I62" s="2">
        <v>36.579500000000003</v>
      </c>
      <c r="J62" s="2">
        <v>0.30099999999999999</v>
      </c>
      <c r="K62" s="2">
        <v>1.1597999999999999</v>
      </c>
      <c r="L62" s="2">
        <v>0.28770000000000001</v>
      </c>
      <c r="M62" s="2">
        <v>611.1046</v>
      </c>
    </row>
    <row r="63" spans="2:13" x14ac:dyDescent="0.3">
      <c r="B63" s="2">
        <v>-1</v>
      </c>
      <c r="C63" s="2" t="s">
        <v>47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-210.3313</v>
      </c>
      <c r="I63" s="2">
        <v>36.579500000000003</v>
      </c>
      <c r="J63" s="2">
        <v>0.30099999999999999</v>
      </c>
      <c r="K63" s="2">
        <v>1.1597999999999999</v>
      </c>
      <c r="L63" s="2">
        <v>0.80230000000000001</v>
      </c>
      <c r="M63" s="2">
        <v>543.20830000000001</v>
      </c>
    </row>
    <row r="64" spans="2:13" x14ac:dyDescent="0.3">
      <c r="B64" s="2">
        <v>-1</v>
      </c>
      <c r="C64" s="2" t="s">
        <v>47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-679.39840000000004</v>
      </c>
      <c r="I64" s="2">
        <v>-37.045099999999998</v>
      </c>
      <c r="J64" s="2">
        <v>-0.21410000000000001</v>
      </c>
      <c r="K64" s="2">
        <v>-2.0438999999999998</v>
      </c>
      <c r="L64" s="2">
        <v>-0.61799999999999999</v>
      </c>
      <c r="M64" s="2">
        <v>-650.4384</v>
      </c>
    </row>
    <row r="65" spans="2:13" x14ac:dyDescent="0.3">
      <c r="B65" s="2">
        <v>-1</v>
      </c>
      <c r="C65" s="2" t="s">
        <v>47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-689.82560000000001</v>
      </c>
      <c r="I65" s="2">
        <v>-37.045099999999998</v>
      </c>
      <c r="J65" s="2">
        <v>-0.21410000000000001</v>
      </c>
      <c r="K65" s="2">
        <v>-2.0438999999999998</v>
      </c>
      <c r="L65" s="2">
        <v>-0.90680000000000005</v>
      </c>
      <c r="M65" s="2">
        <v>-583.75260000000003</v>
      </c>
    </row>
    <row r="66" spans="2:13" x14ac:dyDescent="0.3">
      <c r="B66" s="2">
        <v>-1</v>
      </c>
      <c r="C66" s="2" t="s">
        <v>47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-202.51089999999999</v>
      </c>
      <c r="I66" s="2">
        <v>23.2073</v>
      </c>
      <c r="J66" s="2">
        <v>0.30099999999999999</v>
      </c>
      <c r="K66" s="2">
        <v>1.1597999999999999</v>
      </c>
      <c r="L66" s="2">
        <v>0.28770000000000001</v>
      </c>
      <c r="M66" s="2">
        <v>79.424099999999996</v>
      </c>
    </row>
    <row r="67" spans="2:13" x14ac:dyDescent="0.3">
      <c r="B67" s="2">
        <v>-1</v>
      </c>
      <c r="C67" s="2" t="s">
        <v>47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-210.3313</v>
      </c>
      <c r="I67" s="2">
        <v>23.2073</v>
      </c>
      <c r="J67" s="2">
        <v>0.30099999999999999</v>
      </c>
      <c r="K67" s="2">
        <v>1.1597999999999999</v>
      </c>
      <c r="L67" s="2">
        <v>0.80230000000000001</v>
      </c>
      <c r="M67" s="2">
        <v>17.286100000000001</v>
      </c>
    </row>
    <row r="68" spans="2:13" x14ac:dyDescent="0.3">
      <c r="B68" s="2">
        <v>-1</v>
      </c>
      <c r="C68" s="2" t="s">
        <v>47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-480.78530000000001</v>
      </c>
      <c r="I68" s="2">
        <v>-24.414200000000001</v>
      </c>
      <c r="J68" s="2">
        <v>-0.18479999999999999</v>
      </c>
      <c r="K68" s="2">
        <v>-1.8575999999999999</v>
      </c>
      <c r="L68" s="2">
        <v>-0.59740000000000004</v>
      </c>
      <c r="M68" s="2">
        <v>-108.71729999999999</v>
      </c>
    </row>
    <row r="69" spans="2:13" x14ac:dyDescent="0.3">
      <c r="B69" s="2">
        <v>-1</v>
      </c>
      <c r="C69" s="2" t="s">
        <v>47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-488.60579999999999</v>
      </c>
      <c r="I69" s="2">
        <v>-24.414200000000001</v>
      </c>
      <c r="J69" s="2">
        <v>-0.18479999999999999</v>
      </c>
      <c r="K69" s="2">
        <v>-1.8575999999999999</v>
      </c>
      <c r="L69" s="2">
        <v>-0.81010000000000004</v>
      </c>
      <c r="M69" s="2">
        <v>-49.717199999999998</v>
      </c>
    </row>
    <row r="70" spans="2:13" x14ac:dyDescent="0.3">
      <c r="B70" s="2">
        <v>-1</v>
      </c>
      <c r="C70" s="2" t="s">
        <v>47</v>
      </c>
      <c r="D70" s="2" t="s">
        <v>32</v>
      </c>
      <c r="E70" s="2" t="s">
        <v>24</v>
      </c>
      <c r="F70" s="2"/>
      <c r="G70" s="2" t="s">
        <v>16</v>
      </c>
      <c r="H70" s="2">
        <v>-464.33940000000001</v>
      </c>
      <c r="I70" s="2">
        <v>0.27189999999999998</v>
      </c>
      <c r="J70" s="2">
        <v>1.5900000000000001E-2</v>
      </c>
      <c r="K70" s="2">
        <v>-0.4577</v>
      </c>
      <c r="L70" s="2">
        <v>-0.14099999999999999</v>
      </c>
      <c r="M70" s="2">
        <v>-21.432400000000001</v>
      </c>
    </row>
    <row r="71" spans="2:13" x14ac:dyDescent="0.3">
      <c r="B71" s="2">
        <v>-1</v>
      </c>
      <c r="C71" s="2" t="s">
        <v>47</v>
      </c>
      <c r="D71" s="2" t="s">
        <v>32</v>
      </c>
      <c r="E71" s="2" t="s">
        <v>24</v>
      </c>
      <c r="F71" s="2"/>
      <c r="G71" s="2" t="s">
        <v>17</v>
      </c>
      <c r="H71" s="2">
        <v>-473.02870000000001</v>
      </c>
      <c r="I71" s="2">
        <v>0.27189999999999998</v>
      </c>
      <c r="J71" s="2">
        <v>1.5900000000000001E-2</v>
      </c>
      <c r="K71" s="2">
        <v>-0.4577</v>
      </c>
      <c r="L71" s="2">
        <v>-9.9699999999999997E-2</v>
      </c>
      <c r="M71" s="2">
        <v>-20.7254</v>
      </c>
    </row>
    <row r="72" spans="2:13" x14ac:dyDescent="0.3">
      <c r="B72" s="2">
        <v>-1</v>
      </c>
      <c r="C72" s="2" t="s">
        <v>48</v>
      </c>
      <c r="D72" s="2" t="s">
        <v>14</v>
      </c>
      <c r="E72" s="2" t="s">
        <v>15</v>
      </c>
      <c r="F72" s="2"/>
      <c r="G72" s="2" t="s">
        <v>16</v>
      </c>
      <c r="H72" s="2">
        <v>-206.28</v>
      </c>
      <c r="I72" s="2">
        <v>7.2934000000000001</v>
      </c>
      <c r="J72" s="2">
        <v>-0.129</v>
      </c>
      <c r="K72" s="2">
        <v>1.46E-2</v>
      </c>
      <c r="L72" s="2">
        <v>0.2427</v>
      </c>
      <c r="M72" s="2">
        <v>-33.618699999999997</v>
      </c>
    </row>
    <row r="73" spans="2:13" x14ac:dyDescent="0.3">
      <c r="B73" s="2">
        <v>-1</v>
      </c>
      <c r="C73" s="2" t="s">
        <v>48</v>
      </c>
      <c r="D73" s="2" t="s">
        <v>14</v>
      </c>
      <c r="E73" s="2" t="s">
        <v>15</v>
      </c>
      <c r="F73" s="2"/>
      <c r="G73" s="2" t="s">
        <v>17</v>
      </c>
      <c r="H73" s="2">
        <v>-212.29249999999999</v>
      </c>
      <c r="I73" s="2">
        <v>7.2934000000000001</v>
      </c>
      <c r="J73" s="2">
        <v>-0.129</v>
      </c>
      <c r="K73" s="2">
        <v>1.46E-2</v>
      </c>
      <c r="L73" s="2">
        <v>-9.2600000000000002E-2</v>
      </c>
      <c r="M73" s="2">
        <v>-14.655799999999999</v>
      </c>
    </row>
    <row r="74" spans="2:13" x14ac:dyDescent="0.3">
      <c r="B74" s="2">
        <v>-1</v>
      </c>
      <c r="C74" s="2" t="s">
        <v>48</v>
      </c>
      <c r="D74" s="2" t="s">
        <v>18</v>
      </c>
      <c r="E74" s="2" t="s">
        <v>15</v>
      </c>
      <c r="F74" s="2"/>
      <c r="G74" s="2" t="s">
        <v>16</v>
      </c>
      <c r="H74" s="2">
        <v>-46.375900000000001</v>
      </c>
      <c r="I74" s="2">
        <v>-1.3471</v>
      </c>
      <c r="J74" s="2">
        <v>-4.3499999999999997E-2</v>
      </c>
      <c r="K74" s="2">
        <v>1.23E-2</v>
      </c>
      <c r="L74" s="2">
        <v>7.4499999999999997E-2</v>
      </c>
      <c r="M74" s="2">
        <v>-3.7997000000000001</v>
      </c>
    </row>
    <row r="75" spans="2:13" x14ac:dyDescent="0.3">
      <c r="B75" s="2">
        <v>-1</v>
      </c>
      <c r="C75" s="2" t="s">
        <v>48</v>
      </c>
      <c r="D75" s="2" t="s">
        <v>18</v>
      </c>
      <c r="E75" s="2" t="s">
        <v>15</v>
      </c>
      <c r="F75" s="2"/>
      <c r="G75" s="2" t="s">
        <v>17</v>
      </c>
      <c r="H75" s="2">
        <v>-46.375900000000001</v>
      </c>
      <c r="I75" s="2">
        <v>-1.3471</v>
      </c>
      <c r="J75" s="2">
        <v>-4.3499999999999997E-2</v>
      </c>
      <c r="K75" s="2">
        <v>1.23E-2</v>
      </c>
      <c r="L75" s="2">
        <v>-3.85E-2</v>
      </c>
      <c r="M75" s="2">
        <v>-7.3022</v>
      </c>
    </row>
    <row r="76" spans="2:13" x14ac:dyDescent="0.3">
      <c r="B76" s="2">
        <v>-1</v>
      </c>
      <c r="C76" s="2" t="s">
        <v>48</v>
      </c>
      <c r="D76" s="2" t="s">
        <v>19</v>
      </c>
      <c r="E76" s="2" t="s">
        <v>20</v>
      </c>
      <c r="F76" s="2" t="s">
        <v>21</v>
      </c>
      <c r="G76" s="2" t="s">
        <v>16</v>
      </c>
      <c r="H76" s="2">
        <v>36.364400000000003</v>
      </c>
      <c r="I76" s="2">
        <v>7.1407999999999996</v>
      </c>
      <c r="J76" s="2">
        <v>0.2024</v>
      </c>
      <c r="K76" s="2">
        <v>8.2500000000000004E-2</v>
      </c>
      <c r="L76" s="2">
        <v>0.53500000000000003</v>
      </c>
      <c r="M76" s="2">
        <v>22.606200000000001</v>
      </c>
    </row>
    <row r="77" spans="2:13" x14ac:dyDescent="0.3">
      <c r="B77" s="2">
        <v>-1</v>
      </c>
      <c r="C77" s="2" t="s">
        <v>48</v>
      </c>
      <c r="D77" s="2" t="s">
        <v>19</v>
      </c>
      <c r="E77" s="2" t="s">
        <v>20</v>
      </c>
      <c r="F77" s="2" t="s">
        <v>21</v>
      </c>
      <c r="G77" s="2" t="s">
        <v>17</v>
      </c>
      <c r="H77" s="2">
        <v>36.364400000000003</v>
      </c>
      <c r="I77" s="2">
        <v>7.1407999999999996</v>
      </c>
      <c r="J77" s="2">
        <v>0.2024</v>
      </c>
      <c r="K77" s="2">
        <v>8.2500000000000004E-2</v>
      </c>
      <c r="L77" s="2">
        <v>0.65839999999999999</v>
      </c>
      <c r="M77" s="2">
        <v>6.0701000000000001</v>
      </c>
    </row>
    <row r="78" spans="2:13" x14ac:dyDescent="0.3">
      <c r="B78" s="2">
        <v>-1</v>
      </c>
      <c r="C78" s="2" t="s">
        <v>48</v>
      </c>
      <c r="D78" s="2" t="s">
        <v>22</v>
      </c>
      <c r="E78" s="2" t="s">
        <v>20</v>
      </c>
      <c r="F78" s="2" t="s">
        <v>21</v>
      </c>
      <c r="G78" s="2" t="s">
        <v>16</v>
      </c>
      <c r="H78" s="2">
        <v>12.819100000000001</v>
      </c>
      <c r="I78" s="2">
        <v>6.4184000000000001</v>
      </c>
      <c r="J78" s="2">
        <v>0.11</v>
      </c>
      <c r="K78" s="2">
        <v>0.1075</v>
      </c>
      <c r="L78" s="2">
        <v>0.1467</v>
      </c>
      <c r="M78" s="2">
        <v>69.269800000000004</v>
      </c>
    </row>
    <row r="79" spans="2:13" x14ac:dyDescent="0.3">
      <c r="B79" s="2">
        <v>-1</v>
      </c>
      <c r="C79" s="2" t="s">
        <v>48</v>
      </c>
      <c r="D79" s="2" t="s">
        <v>22</v>
      </c>
      <c r="E79" s="2" t="s">
        <v>20</v>
      </c>
      <c r="F79" s="2" t="s">
        <v>21</v>
      </c>
      <c r="G79" s="2" t="s">
        <v>17</v>
      </c>
      <c r="H79" s="2">
        <v>12.819100000000001</v>
      </c>
      <c r="I79" s="2">
        <v>6.4184000000000001</v>
      </c>
      <c r="J79" s="2">
        <v>0.11</v>
      </c>
      <c r="K79" s="2">
        <v>0.1075</v>
      </c>
      <c r="L79" s="2">
        <v>0.14000000000000001</v>
      </c>
      <c r="M79" s="2">
        <v>64.852500000000006</v>
      </c>
    </row>
    <row r="80" spans="2:13" x14ac:dyDescent="0.3">
      <c r="B80" s="2">
        <v>-1</v>
      </c>
      <c r="C80" s="2" t="s">
        <v>48</v>
      </c>
      <c r="D80" s="2" t="s">
        <v>23</v>
      </c>
      <c r="E80" s="2" t="s">
        <v>24</v>
      </c>
      <c r="F80" s="2"/>
      <c r="G80" s="2" t="s">
        <v>16</v>
      </c>
      <c r="H80" s="2">
        <v>-288.79199999999997</v>
      </c>
      <c r="I80" s="2">
        <v>10.210800000000001</v>
      </c>
      <c r="J80" s="2">
        <v>-0.18060000000000001</v>
      </c>
      <c r="K80" s="2">
        <v>2.0400000000000001E-2</v>
      </c>
      <c r="L80" s="2">
        <v>0.33979999999999999</v>
      </c>
      <c r="M80" s="2">
        <v>-47.066200000000002</v>
      </c>
    </row>
    <row r="81" spans="2:13" x14ac:dyDescent="0.3">
      <c r="B81" s="2">
        <v>-1</v>
      </c>
      <c r="C81" s="2" t="s">
        <v>48</v>
      </c>
      <c r="D81" s="2" t="s">
        <v>23</v>
      </c>
      <c r="E81" s="2" t="s">
        <v>24</v>
      </c>
      <c r="F81" s="2"/>
      <c r="G81" s="2" t="s">
        <v>17</v>
      </c>
      <c r="H81" s="2">
        <v>-297.20949999999999</v>
      </c>
      <c r="I81" s="2">
        <v>10.210800000000001</v>
      </c>
      <c r="J81" s="2">
        <v>-0.18060000000000001</v>
      </c>
      <c r="K81" s="2">
        <v>2.0400000000000001E-2</v>
      </c>
      <c r="L81" s="2">
        <v>-0.12970000000000001</v>
      </c>
      <c r="M81" s="2">
        <v>-20.5182</v>
      </c>
    </row>
    <row r="82" spans="2:13" x14ac:dyDescent="0.3">
      <c r="B82" s="2">
        <v>-1</v>
      </c>
      <c r="C82" s="2" t="s">
        <v>48</v>
      </c>
      <c r="D82" s="2" t="s">
        <v>25</v>
      </c>
      <c r="E82" s="2" t="s">
        <v>24</v>
      </c>
      <c r="F82" s="2"/>
      <c r="G82" s="2" t="s">
        <v>16</v>
      </c>
      <c r="H82" s="2">
        <v>-321.73750000000001</v>
      </c>
      <c r="I82" s="2">
        <v>6.5967000000000002</v>
      </c>
      <c r="J82" s="2">
        <v>-0.2243</v>
      </c>
      <c r="K82" s="2">
        <v>3.7199999999999997E-2</v>
      </c>
      <c r="L82" s="2">
        <v>0.41039999999999999</v>
      </c>
      <c r="M82" s="2">
        <v>-46.4221</v>
      </c>
    </row>
    <row r="83" spans="2:13" x14ac:dyDescent="0.3">
      <c r="B83" s="2">
        <v>-1</v>
      </c>
      <c r="C83" s="2" t="s">
        <v>48</v>
      </c>
      <c r="D83" s="2" t="s">
        <v>25</v>
      </c>
      <c r="E83" s="2" t="s">
        <v>24</v>
      </c>
      <c r="F83" s="2"/>
      <c r="G83" s="2" t="s">
        <v>17</v>
      </c>
      <c r="H83" s="2">
        <v>-328.95249999999999</v>
      </c>
      <c r="I83" s="2">
        <v>6.5967000000000002</v>
      </c>
      <c r="J83" s="2">
        <v>-0.2243</v>
      </c>
      <c r="K83" s="2">
        <v>3.7199999999999997E-2</v>
      </c>
      <c r="L83" s="2">
        <v>-0.17280000000000001</v>
      </c>
      <c r="M83" s="2">
        <v>-29.270600000000002</v>
      </c>
    </row>
    <row r="84" spans="2:13" x14ac:dyDescent="0.3">
      <c r="B84" s="2">
        <v>-1</v>
      </c>
      <c r="C84" s="2" t="s">
        <v>48</v>
      </c>
      <c r="D84" s="2" t="s">
        <v>26</v>
      </c>
      <c r="E84" s="2" t="s">
        <v>24</v>
      </c>
      <c r="F84" s="2" t="s">
        <v>21</v>
      </c>
      <c r="G84" s="2" t="s">
        <v>16</v>
      </c>
      <c r="H84" s="2">
        <v>-134.74189999999999</v>
      </c>
      <c r="I84" s="2">
        <v>16.561199999999999</v>
      </c>
      <c r="J84" s="2">
        <v>0.1673</v>
      </c>
      <c r="K84" s="2">
        <v>0.12870000000000001</v>
      </c>
      <c r="L84" s="2">
        <v>0.96750000000000003</v>
      </c>
      <c r="M84" s="2">
        <v>1.3917999999999999</v>
      </c>
    </row>
    <row r="85" spans="2:13" x14ac:dyDescent="0.3">
      <c r="B85" s="2">
        <v>-1</v>
      </c>
      <c r="C85" s="2" t="s">
        <v>48</v>
      </c>
      <c r="D85" s="2" t="s">
        <v>26</v>
      </c>
      <c r="E85" s="2" t="s">
        <v>24</v>
      </c>
      <c r="F85" s="2" t="s">
        <v>21</v>
      </c>
      <c r="G85" s="2" t="s">
        <v>17</v>
      </c>
      <c r="H85" s="2">
        <v>-140.15309999999999</v>
      </c>
      <c r="I85" s="2">
        <v>16.561199999999999</v>
      </c>
      <c r="J85" s="2">
        <v>0.1673</v>
      </c>
      <c r="K85" s="2">
        <v>0.12870000000000001</v>
      </c>
      <c r="L85" s="2">
        <v>0.83840000000000003</v>
      </c>
      <c r="M85" s="2">
        <v>-4.6921999999999997</v>
      </c>
    </row>
    <row r="86" spans="2:13" x14ac:dyDescent="0.3">
      <c r="B86" s="2">
        <v>-1</v>
      </c>
      <c r="C86" s="2" t="s">
        <v>48</v>
      </c>
      <c r="D86" s="2" t="s">
        <v>26</v>
      </c>
      <c r="E86" s="2" t="s">
        <v>24</v>
      </c>
      <c r="F86" s="2" t="s">
        <v>27</v>
      </c>
      <c r="G86" s="2" t="s">
        <v>16</v>
      </c>
      <c r="H86" s="2">
        <v>-236.56209999999999</v>
      </c>
      <c r="I86" s="2">
        <v>-3.4331</v>
      </c>
      <c r="J86" s="2">
        <v>-0.39950000000000002</v>
      </c>
      <c r="K86" s="2">
        <v>-0.1024</v>
      </c>
      <c r="L86" s="2">
        <v>-0.53049999999999997</v>
      </c>
      <c r="M86" s="2">
        <v>-61.905500000000004</v>
      </c>
    </row>
    <row r="87" spans="2:13" x14ac:dyDescent="0.3">
      <c r="B87" s="2">
        <v>-1</v>
      </c>
      <c r="C87" s="2" t="s">
        <v>48</v>
      </c>
      <c r="D87" s="2" t="s">
        <v>26</v>
      </c>
      <c r="E87" s="2" t="s">
        <v>24</v>
      </c>
      <c r="F87" s="2" t="s">
        <v>27</v>
      </c>
      <c r="G87" s="2" t="s">
        <v>17</v>
      </c>
      <c r="H87" s="2">
        <v>-241.9734</v>
      </c>
      <c r="I87" s="2">
        <v>-3.4331</v>
      </c>
      <c r="J87" s="2">
        <v>-0.39950000000000002</v>
      </c>
      <c r="K87" s="2">
        <v>-0.1024</v>
      </c>
      <c r="L87" s="2">
        <v>-1.0051000000000001</v>
      </c>
      <c r="M87" s="2">
        <v>-21.688300000000002</v>
      </c>
    </row>
    <row r="88" spans="2:13" x14ac:dyDescent="0.3">
      <c r="B88" s="2">
        <v>-1</v>
      </c>
      <c r="C88" s="2" t="s">
        <v>48</v>
      </c>
      <c r="D88" s="2" t="s">
        <v>28</v>
      </c>
      <c r="E88" s="2" t="s">
        <v>24</v>
      </c>
      <c r="F88" s="2" t="s">
        <v>21</v>
      </c>
      <c r="G88" s="2" t="s">
        <v>16</v>
      </c>
      <c r="H88" s="2">
        <v>-243.0018</v>
      </c>
      <c r="I88" s="2">
        <v>17.402100000000001</v>
      </c>
      <c r="J88" s="2">
        <v>8.5199999999999998E-2</v>
      </c>
      <c r="K88" s="2">
        <v>0.1454</v>
      </c>
      <c r="L88" s="2">
        <v>1.1147</v>
      </c>
      <c r="M88" s="2">
        <v>-12.493600000000001</v>
      </c>
    </row>
    <row r="89" spans="2:13" x14ac:dyDescent="0.3">
      <c r="B89" s="2">
        <v>-1</v>
      </c>
      <c r="C89" s="2" t="s">
        <v>48</v>
      </c>
      <c r="D89" s="2" t="s">
        <v>28</v>
      </c>
      <c r="E89" s="2" t="s">
        <v>24</v>
      </c>
      <c r="F89" s="2" t="s">
        <v>21</v>
      </c>
      <c r="G89" s="2" t="s">
        <v>17</v>
      </c>
      <c r="H89" s="2">
        <v>-250.21680000000001</v>
      </c>
      <c r="I89" s="2">
        <v>17.402100000000001</v>
      </c>
      <c r="J89" s="2">
        <v>8.5199999999999998E-2</v>
      </c>
      <c r="K89" s="2">
        <v>0.1454</v>
      </c>
      <c r="L89" s="2">
        <v>0.77210000000000001</v>
      </c>
      <c r="M89" s="2">
        <v>-16.391100000000002</v>
      </c>
    </row>
    <row r="90" spans="2:13" x14ac:dyDescent="0.3">
      <c r="B90" s="2">
        <v>-1</v>
      </c>
      <c r="C90" s="2" t="s">
        <v>48</v>
      </c>
      <c r="D90" s="2" t="s">
        <v>28</v>
      </c>
      <c r="E90" s="2" t="s">
        <v>24</v>
      </c>
      <c r="F90" s="2" t="s">
        <v>27</v>
      </c>
      <c r="G90" s="2" t="s">
        <v>16</v>
      </c>
      <c r="H90" s="2">
        <v>-344.822</v>
      </c>
      <c r="I90" s="2">
        <v>-2.5922000000000001</v>
      </c>
      <c r="J90" s="2">
        <v>-0.48159999999999997</v>
      </c>
      <c r="K90" s="2">
        <v>-8.5800000000000001E-2</v>
      </c>
      <c r="L90" s="2">
        <v>-0.38319999999999999</v>
      </c>
      <c r="M90" s="2">
        <v>-75.790899999999993</v>
      </c>
    </row>
    <row r="91" spans="2:13" x14ac:dyDescent="0.3">
      <c r="B91" s="2">
        <v>-1</v>
      </c>
      <c r="C91" s="2" t="s">
        <v>48</v>
      </c>
      <c r="D91" s="2" t="s">
        <v>28</v>
      </c>
      <c r="E91" s="2" t="s">
        <v>24</v>
      </c>
      <c r="F91" s="2" t="s">
        <v>27</v>
      </c>
      <c r="G91" s="2" t="s">
        <v>17</v>
      </c>
      <c r="H91" s="2">
        <v>-352.03699999999998</v>
      </c>
      <c r="I91" s="2">
        <v>-2.5922000000000001</v>
      </c>
      <c r="J91" s="2">
        <v>-0.48159999999999997</v>
      </c>
      <c r="K91" s="2">
        <v>-8.5800000000000001E-2</v>
      </c>
      <c r="L91" s="2">
        <v>-1.0713999999999999</v>
      </c>
      <c r="M91" s="2">
        <v>-33.387300000000003</v>
      </c>
    </row>
    <row r="92" spans="2:13" x14ac:dyDescent="0.3">
      <c r="B92" s="2">
        <v>-1</v>
      </c>
      <c r="C92" s="2" t="s">
        <v>48</v>
      </c>
      <c r="D92" s="2" t="s">
        <v>29</v>
      </c>
      <c r="E92" s="2" t="s">
        <v>24</v>
      </c>
      <c r="F92" s="2" t="s">
        <v>21</v>
      </c>
      <c r="G92" s="2" t="s">
        <v>16</v>
      </c>
      <c r="H92" s="2">
        <v>-275.96510000000001</v>
      </c>
      <c r="I92" s="2">
        <v>16.390799999999999</v>
      </c>
      <c r="J92" s="2">
        <v>-4.4200000000000003E-2</v>
      </c>
      <c r="K92" s="2">
        <v>0.1802</v>
      </c>
      <c r="L92" s="2">
        <v>0.57120000000000004</v>
      </c>
      <c r="M92" s="2">
        <v>52.835500000000003</v>
      </c>
    </row>
    <row r="93" spans="2:13" x14ac:dyDescent="0.3">
      <c r="B93" s="2">
        <v>-1</v>
      </c>
      <c r="C93" s="2" t="s">
        <v>48</v>
      </c>
      <c r="D93" s="2" t="s">
        <v>29</v>
      </c>
      <c r="E93" s="2" t="s">
        <v>24</v>
      </c>
      <c r="F93" s="2" t="s">
        <v>21</v>
      </c>
      <c r="G93" s="2" t="s">
        <v>17</v>
      </c>
      <c r="H93" s="2">
        <v>-283.18009999999998</v>
      </c>
      <c r="I93" s="2">
        <v>16.390799999999999</v>
      </c>
      <c r="J93" s="2">
        <v>-4.4200000000000003E-2</v>
      </c>
      <c r="K93" s="2">
        <v>0.1802</v>
      </c>
      <c r="L93" s="2">
        <v>4.6399999999999997E-2</v>
      </c>
      <c r="M93" s="2">
        <v>65.904300000000006</v>
      </c>
    </row>
    <row r="94" spans="2:13" x14ac:dyDescent="0.3">
      <c r="B94" s="2">
        <v>-1</v>
      </c>
      <c r="C94" s="2" t="s">
        <v>48</v>
      </c>
      <c r="D94" s="2" t="s">
        <v>29</v>
      </c>
      <c r="E94" s="2" t="s">
        <v>24</v>
      </c>
      <c r="F94" s="2" t="s">
        <v>27</v>
      </c>
      <c r="G94" s="2" t="s">
        <v>16</v>
      </c>
      <c r="H94" s="2">
        <v>-311.8587</v>
      </c>
      <c r="I94" s="2">
        <v>-1.5808</v>
      </c>
      <c r="J94" s="2">
        <v>-0.35220000000000001</v>
      </c>
      <c r="K94" s="2">
        <v>-0.1207</v>
      </c>
      <c r="L94" s="2">
        <v>0.1603</v>
      </c>
      <c r="M94" s="2">
        <v>-141.12</v>
      </c>
    </row>
    <row r="95" spans="2:13" x14ac:dyDescent="0.3">
      <c r="B95" s="2">
        <v>-1</v>
      </c>
      <c r="C95" s="2" t="s">
        <v>48</v>
      </c>
      <c r="D95" s="2" t="s">
        <v>29</v>
      </c>
      <c r="E95" s="2" t="s">
        <v>24</v>
      </c>
      <c r="F95" s="2" t="s">
        <v>27</v>
      </c>
      <c r="G95" s="2" t="s">
        <v>17</v>
      </c>
      <c r="H95" s="2">
        <v>-319.07369999999997</v>
      </c>
      <c r="I95" s="2">
        <v>-1.5808</v>
      </c>
      <c r="J95" s="2">
        <v>-0.35220000000000001</v>
      </c>
      <c r="K95" s="2">
        <v>-0.1207</v>
      </c>
      <c r="L95" s="2">
        <v>-0.34570000000000001</v>
      </c>
      <c r="M95" s="2">
        <v>-115.6827</v>
      </c>
    </row>
    <row r="96" spans="2:13" x14ac:dyDescent="0.3">
      <c r="B96" s="2">
        <v>-1</v>
      </c>
      <c r="C96" s="2" t="s">
        <v>48</v>
      </c>
      <c r="D96" s="2" t="s">
        <v>30</v>
      </c>
      <c r="E96" s="2" t="s">
        <v>24</v>
      </c>
      <c r="F96" s="2" t="s">
        <v>21</v>
      </c>
      <c r="G96" s="2" t="s">
        <v>16</v>
      </c>
      <c r="H96" s="2">
        <v>-134.74189999999999</v>
      </c>
      <c r="I96" s="2">
        <v>17.402100000000001</v>
      </c>
      <c r="J96" s="2">
        <v>0.1673</v>
      </c>
      <c r="K96" s="2">
        <v>0.1802</v>
      </c>
      <c r="L96" s="2">
        <v>1.1147</v>
      </c>
      <c r="M96" s="2">
        <v>66.7209</v>
      </c>
    </row>
    <row r="97" spans="2:13" x14ac:dyDescent="0.3">
      <c r="B97" s="2">
        <v>-1</v>
      </c>
      <c r="C97" s="2" t="s">
        <v>48</v>
      </c>
      <c r="D97" s="2" t="s">
        <v>30</v>
      </c>
      <c r="E97" s="2" t="s">
        <v>24</v>
      </c>
      <c r="F97" s="2" t="s">
        <v>21</v>
      </c>
      <c r="G97" s="2" t="s">
        <v>17</v>
      </c>
      <c r="H97" s="2">
        <v>-140.15309999999999</v>
      </c>
      <c r="I97" s="2">
        <v>17.402100000000001</v>
      </c>
      <c r="J97" s="2">
        <v>0.1673</v>
      </c>
      <c r="K97" s="2">
        <v>0.1802</v>
      </c>
      <c r="L97" s="2">
        <v>0.83840000000000003</v>
      </c>
      <c r="M97" s="2">
        <v>77.603300000000004</v>
      </c>
    </row>
    <row r="98" spans="2:13" x14ac:dyDescent="0.3">
      <c r="B98" s="2">
        <v>-1</v>
      </c>
      <c r="C98" s="2" t="s">
        <v>48</v>
      </c>
      <c r="D98" s="2" t="s">
        <v>30</v>
      </c>
      <c r="E98" s="2" t="s">
        <v>24</v>
      </c>
      <c r="F98" s="2" t="s">
        <v>27</v>
      </c>
      <c r="G98" s="2" t="s">
        <v>16</v>
      </c>
      <c r="H98" s="2">
        <v>-344.822</v>
      </c>
      <c r="I98" s="2">
        <v>-3.4331</v>
      </c>
      <c r="J98" s="2">
        <v>-0.48159999999999997</v>
      </c>
      <c r="K98" s="2">
        <v>-0.13730000000000001</v>
      </c>
      <c r="L98" s="2">
        <v>-0.53049999999999997</v>
      </c>
      <c r="M98" s="2">
        <v>-141.12</v>
      </c>
    </row>
    <row r="99" spans="2:13" x14ac:dyDescent="0.3">
      <c r="B99" s="2">
        <v>-1</v>
      </c>
      <c r="C99" s="2" t="s">
        <v>48</v>
      </c>
      <c r="D99" s="2" t="s">
        <v>30</v>
      </c>
      <c r="E99" s="2" t="s">
        <v>24</v>
      </c>
      <c r="F99" s="2" t="s">
        <v>27</v>
      </c>
      <c r="G99" s="2" t="s">
        <v>17</v>
      </c>
      <c r="H99" s="2">
        <v>-352.03699999999998</v>
      </c>
      <c r="I99" s="2">
        <v>-3.4331</v>
      </c>
      <c r="J99" s="2">
        <v>-0.48159999999999997</v>
      </c>
      <c r="K99" s="2">
        <v>-0.13730000000000001</v>
      </c>
      <c r="L99" s="2">
        <v>-1.0713999999999999</v>
      </c>
      <c r="M99" s="2">
        <v>-115.6827</v>
      </c>
    </row>
    <row r="100" spans="2:13" x14ac:dyDescent="0.3">
      <c r="B100" s="2">
        <v>-1</v>
      </c>
      <c r="C100" s="2" t="s">
        <v>48</v>
      </c>
      <c r="D100" s="2" t="s">
        <v>31</v>
      </c>
      <c r="E100" s="2" t="s">
        <v>24</v>
      </c>
      <c r="F100" s="2" t="s">
        <v>21</v>
      </c>
      <c r="G100" s="2" t="s">
        <v>16</v>
      </c>
      <c r="H100" s="2">
        <v>-167.70519999999999</v>
      </c>
      <c r="I100" s="2">
        <v>15.549899999999999</v>
      </c>
      <c r="J100" s="2">
        <v>3.7900000000000003E-2</v>
      </c>
      <c r="K100" s="2">
        <v>0.1636</v>
      </c>
      <c r="L100" s="2">
        <v>0.4239</v>
      </c>
      <c r="M100" s="2">
        <v>66.7209</v>
      </c>
    </row>
    <row r="101" spans="2:13" x14ac:dyDescent="0.3">
      <c r="B101" s="2">
        <v>-1</v>
      </c>
      <c r="C101" s="2" t="s">
        <v>48</v>
      </c>
      <c r="D101" s="2" t="s">
        <v>31</v>
      </c>
      <c r="E101" s="2" t="s">
        <v>24</v>
      </c>
      <c r="F101" s="2" t="s">
        <v>21</v>
      </c>
      <c r="G101" s="2" t="s">
        <v>17</v>
      </c>
      <c r="H101" s="2">
        <v>-173.1165</v>
      </c>
      <c r="I101" s="2">
        <v>15.549899999999999</v>
      </c>
      <c r="J101" s="2">
        <v>3.7900000000000003E-2</v>
      </c>
      <c r="K101" s="2">
        <v>0.1636</v>
      </c>
      <c r="L101" s="2">
        <v>0.11269999999999999</v>
      </c>
      <c r="M101" s="2">
        <v>77.603300000000004</v>
      </c>
    </row>
    <row r="102" spans="2:13" x14ac:dyDescent="0.3">
      <c r="B102" s="2">
        <v>-1</v>
      </c>
      <c r="C102" s="2" t="s">
        <v>48</v>
      </c>
      <c r="D102" s="2" t="s">
        <v>31</v>
      </c>
      <c r="E102" s="2" t="s">
        <v>24</v>
      </c>
      <c r="F102" s="2" t="s">
        <v>27</v>
      </c>
      <c r="G102" s="2" t="s">
        <v>16</v>
      </c>
      <c r="H102" s="2">
        <v>-203.59880000000001</v>
      </c>
      <c r="I102" s="2">
        <v>-2.4217</v>
      </c>
      <c r="J102" s="2">
        <v>-0.27010000000000001</v>
      </c>
      <c r="K102" s="2">
        <v>-0.13730000000000001</v>
      </c>
      <c r="L102" s="2">
        <v>1.2999999999999999E-2</v>
      </c>
      <c r="M102" s="2">
        <v>-127.2346</v>
      </c>
    </row>
    <row r="103" spans="2:13" x14ac:dyDescent="0.3">
      <c r="B103" s="2">
        <v>-1</v>
      </c>
      <c r="C103" s="2" t="s">
        <v>48</v>
      </c>
      <c r="D103" s="2" t="s">
        <v>31</v>
      </c>
      <c r="E103" s="2" t="s">
        <v>24</v>
      </c>
      <c r="F103" s="2" t="s">
        <v>27</v>
      </c>
      <c r="G103" s="2" t="s">
        <v>17</v>
      </c>
      <c r="H103" s="2">
        <v>-209.01</v>
      </c>
      <c r="I103" s="2">
        <v>-2.4217</v>
      </c>
      <c r="J103" s="2">
        <v>-0.27010000000000001</v>
      </c>
      <c r="K103" s="2">
        <v>-0.13730000000000001</v>
      </c>
      <c r="L103" s="2">
        <v>-0.27939999999999998</v>
      </c>
      <c r="M103" s="2">
        <v>-103.9837</v>
      </c>
    </row>
    <row r="104" spans="2:13" x14ac:dyDescent="0.3">
      <c r="B104" s="2">
        <v>-1</v>
      </c>
      <c r="C104" s="2" t="s">
        <v>48</v>
      </c>
      <c r="D104" s="2" t="s">
        <v>32</v>
      </c>
      <c r="E104" s="2" t="s">
        <v>24</v>
      </c>
      <c r="F104" s="2"/>
      <c r="G104" s="2" t="s">
        <v>16</v>
      </c>
      <c r="H104" s="2">
        <v>-252.6559</v>
      </c>
      <c r="I104" s="2">
        <v>5.9462999999999999</v>
      </c>
      <c r="J104" s="2">
        <v>-0.1724</v>
      </c>
      <c r="K104" s="2">
        <v>2.69E-2</v>
      </c>
      <c r="L104" s="2">
        <v>0.31719999999999998</v>
      </c>
      <c r="M104" s="2">
        <v>-37.418500000000002</v>
      </c>
    </row>
    <row r="105" spans="2:13" x14ac:dyDescent="0.3">
      <c r="B105" s="2">
        <v>-1</v>
      </c>
      <c r="C105" s="2" t="s">
        <v>48</v>
      </c>
      <c r="D105" s="2" t="s">
        <v>32</v>
      </c>
      <c r="E105" s="2" t="s">
        <v>24</v>
      </c>
      <c r="F105" s="2"/>
      <c r="G105" s="2" t="s">
        <v>17</v>
      </c>
      <c r="H105" s="2">
        <v>-258.66840000000002</v>
      </c>
      <c r="I105" s="2">
        <v>5.9462999999999999</v>
      </c>
      <c r="J105" s="2">
        <v>-0.1724</v>
      </c>
      <c r="K105" s="2">
        <v>2.69E-2</v>
      </c>
      <c r="L105" s="2">
        <v>-0.13109999999999999</v>
      </c>
      <c r="M105" s="2">
        <v>-21.958100000000002</v>
      </c>
    </row>
    <row r="106" spans="2:13" x14ac:dyDescent="0.3">
      <c r="B106" s="2">
        <v>-1</v>
      </c>
      <c r="C106" s="2" t="s">
        <v>52</v>
      </c>
      <c r="D106" s="2" t="s">
        <v>14</v>
      </c>
      <c r="E106" s="2" t="s">
        <v>15</v>
      </c>
      <c r="F106" s="2"/>
      <c r="G106" s="2" t="s">
        <v>16</v>
      </c>
      <c r="H106" s="2">
        <v>-174.8869</v>
      </c>
      <c r="I106" s="2">
        <v>20.1401</v>
      </c>
      <c r="J106" s="2">
        <v>0.2611</v>
      </c>
      <c r="K106" s="2">
        <v>0.45669999999999999</v>
      </c>
      <c r="L106" s="2">
        <v>-0.43340000000000001</v>
      </c>
      <c r="M106" s="2">
        <v>-57.103000000000002</v>
      </c>
    </row>
    <row r="107" spans="2:13" x14ac:dyDescent="0.3">
      <c r="B107" s="2">
        <v>-1</v>
      </c>
      <c r="C107" s="2" t="s">
        <v>52</v>
      </c>
      <c r="D107" s="2" t="s">
        <v>14</v>
      </c>
      <c r="E107" s="2" t="s">
        <v>15</v>
      </c>
      <c r="F107" s="2"/>
      <c r="G107" s="2" t="s">
        <v>17</v>
      </c>
      <c r="H107" s="2">
        <v>-181.74440000000001</v>
      </c>
      <c r="I107" s="2">
        <v>20.1401</v>
      </c>
      <c r="J107" s="2">
        <v>0.2611</v>
      </c>
      <c r="K107" s="2">
        <v>0.45669999999999999</v>
      </c>
      <c r="L107" s="2">
        <v>0.2455</v>
      </c>
      <c r="M107" s="2">
        <v>-4.7388000000000003</v>
      </c>
    </row>
    <row r="108" spans="2:13" x14ac:dyDescent="0.3">
      <c r="B108" s="2">
        <v>-1</v>
      </c>
      <c r="C108" s="2" t="s">
        <v>52</v>
      </c>
      <c r="D108" s="2" t="s">
        <v>18</v>
      </c>
      <c r="E108" s="2" t="s">
        <v>15</v>
      </c>
      <c r="F108" s="2"/>
      <c r="G108" s="2" t="s">
        <v>16</v>
      </c>
      <c r="H108" s="2">
        <v>-36.448099999999997</v>
      </c>
      <c r="I108" s="2">
        <v>1.9641999999999999</v>
      </c>
      <c r="J108" s="2">
        <v>5.2900000000000003E-2</v>
      </c>
      <c r="K108" s="2">
        <v>0.1099</v>
      </c>
      <c r="L108" s="2">
        <v>-9.7299999999999998E-2</v>
      </c>
      <c r="M108" s="2">
        <v>-10.697100000000001</v>
      </c>
    </row>
    <row r="109" spans="2:13" x14ac:dyDescent="0.3">
      <c r="B109" s="2">
        <v>-1</v>
      </c>
      <c r="C109" s="2" t="s">
        <v>52</v>
      </c>
      <c r="D109" s="2" t="s">
        <v>18</v>
      </c>
      <c r="E109" s="2" t="s">
        <v>15</v>
      </c>
      <c r="F109" s="2"/>
      <c r="G109" s="2" t="s">
        <v>17</v>
      </c>
      <c r="H109" s="2">
        <v>-36.448099999999997</v>
      </c>
      <c r="I109" s="2">
        <v>1.9641999999999999</v>
      </c>
      <c r="J109" s="2">
        <v>5.2900000000000003E-2</v>
      </c>
      <c r="K109" s="2">
        <v>0.1099</v>
      </c>
      <c r="L109" s="2">
        <v>4.0300000000000002E-2</v>
      </c>
      <c r="M109" s="2">
        <v>-5.5900999999999996</v>
      </c>
    </row>
    <row r="110" spans="2:13" x14ac:dyDescent="0.3">
      <c r="B110" s="2">
        <v>-1</v>
      </c>
      <c r="C110" s="2" t="s">
        <v>52</v>
      </c>
      <c r="D110" s="2" t="s">
        <v>19</v>
      </c>
      <c r="E110" s="2" t="s">
        <v>20</v>
      </c>
      <c r="F110" s="2" t="s">
        <v>21</v>
      </c>
      <c r="G110" s="2" t="s">
        <v>16</v>
      </c>
      <c r="H110" s="2">
        <v>228.95050000000001</v>
      </c>
      <c r="I110" s="2">
        <v>13.635899999999999</v>
      </c>
      <c r="J110" s="2">
        <v>0.68400000000000005</v>
      </c>
      <c r="K110" s="2">
        <v>0.76819999999999999</v>
      </c>
      <c r="L110" s="2">
        <v>1.736</v>
      </c>
      <c r="M110" s="2">
        <v>14.8871</v>
      </c>
    </row>
    <row r="111" spans="2:13" x14ac:dyDescent="0.3">
      <c r="B111" s="2">
        <v>-1</v>
      </c>
      <c r="C111" s="2" t="s">
        <v>52</v>
      </c>
      <c r="D111" s="2" t="s">
        <v>19</v>
      </c>
      <c r="E111" s="2" t="s">
        <v>20</v>
      </c>
      <c r="F111" s="2" t="s">
        <v>21</v>
      </c>
      <c r="G111" s="2" t="s">
        <v>17</v>
      </c>
      <c r="H111" s="2">
        <v>228.95050000000001</v>
      </c>
      <c r="I111" s="2">
        <v>13.635899999999999</v>
      </c>
      <c r="J111" s="2">
        <v>0.68400000000000005</v>
      </c>
      <c r="K111" s="2">
        <v>0.76819999999999999</v>
      </c>
      <c r="L111" s="2">
        <v>0.55620000000000003</v>
      </c>
      <c r="M111" s="2">
        <v>23.6282</v>
      </c>
    </row>
    <row r="112" spans="2:13" x14ac:dyDescent="0.3">
      <c r="B112" s="2">
        <v>-1</v>
      </c>
      <c r="C112" s="2" t="s">
        <v>52</v>
      </c>
      <c r="D112" s="2" t="s">
        <v>22</v>
      </c>
      <c r="E112" s="2" t="s">
        <v>20</v>
      </c>
      <c r="F112" s="2" t="s">
        <v>21</v>
      </c>
      <c r="G112" s="2" t="s">
        <v>16</v>
      </c>
      <c r="H112" s="2">
        <v>18.403199999999998</v>
      </c>
      <c r="I112" s="2">
        <v>27.8599</v>
      </c>
      <c r="J112" s="2">
        <v>0.35310000000000002</v>
      </c>
      <c r="K112" s="2">
        <v>6.4399999999999999E-2</v>
      </c>
      <c r="L112" s="2">
        <v>0.55900000000000005</v>
      </c>
      <c r="M112" s="2">
        <v>29.712800000000001</v>
      </c>
    </row>
    <row r="113" spans="2:13" x14ac:dyDescent="0.3">
      <c r="B113" s="2">
        <v>-1</v>
      </c>
      <c r="C113" s="2" t="s">
        <v>52</v>
      </c>
      <c r="D113" s="2" t="s">
        <v>22</v>
      </c>
      <c r="E113" s="2" t="s">
        <v>20</v>
      </c>
      <c r="F113" s="2" t="s">
        <v>21</v>
      </c>
      <c r="G113" s="2" t="s">
        <v>17</v>
      </c>
      <c r="H113" s="2">
        <v>18.403199999999998</v>
      </c>
      <c r="I113" s="2">
        <v>27.8599</v>
      </c>
      <c r="J113" s="2">
        <v>0.35310000000000002</v>
      </c>
      <c r="K113" s="2">
        <v>6.4399999999999999E-2</v>
      </c>
      <c r="L113" s="2">
        <v>0.3594</v>
      </c>
      <c r="M113" s="2">
        <v>44.6753</v>
      </c>
    </row>
    <row r="114" spans="2:13" x14ac:dyDescent="0.3">
      <c r="B114" s="2">
        <v>-1</v>
      </c>
      <c r="C114" s="2" t="s">
        <v>52</v>
      </c>
      <c r="D114" s="2" t="s">
        <v>23</v>
      </c>
      <c r="E114" s="2" t="s">
        <v>24</v>
      </c>
      <c r="F114" s="2"/>
      <c r="G114" s="2" t="s">
        <v>16</v>
      </c>
      <c r="H114" s="2">
        <v>-244.8417</v>
      </c>
      <c r="I114" s="2">
        <v>28.196100000000001</v>
      </c>
      <c r="J114" s="2">
        <v>0.36549999999999999</v>
      </c>
      <c r="K114" s="2">
        <v>0.63939999999999997</v>
      </c>
      <c r="L114" s="2">
        <v>-0.60670000000000002</v>
      </c>
      <c r="M114" s="2">
        <v>-79.944199999999995</v>
      </c>
    </row>
    <row r="115" spans="2:13" x14ac:dyDescent="0.3">
      <c r="B115" s="2">
        <v>-1</v>
      </c>
      <c r="C115" s="2" t="s">
        <v>52</v>
      </c>
      <c r="D115" s="2" t="s">
        <v>23</v>
      </c>
      <c r="E115" s="2" t="s">
        <v>24</v>
      </c>
      <c r="F115" s="2"/>
      <c r="G115" s="2" t="s">
        <v>17</v>
      </c>
      <c r="H115" s="2">
        <v>-254.44220000000001</v>
      </c>
      <c r="I115" s="2">
        <v>28.196100000000001</v>
      </c>
      <c r="J115" s="2">
        <v>0.36549999999999999</v>
      </c>
      <c r="K115" s="2">
        <v>0.63939999999999997</v>
      </c>
      <c r="L115" s="2">
        <v>0.34360000000000002</v>
      </c>
      <c r="M115" s="2">
        <v>-6.6344000000000003</v>
      </c>
    </row>
    <row r="116" spans="2:13" x14ac:dyDescent="0.3">
      <c r="B116" s="2">
        <v>-1</v>
      </c>
      <c r="C116" s="2" t="s">
        <v>52</v>
      </c>
      <c r="D116" s="2" t="s">
        <v>25</v>
      </c>
      <c r="E116" s="2" t="s">
        <v>24</v>
      </c>
      <c r="F116" s="2"/>
      <c r="G116" s="2" t="s">
        <v>16</v>
      </c>
      <c r="H116" s="2">
        <v>-268.18119999999999</v>
      </c>
      <c r="I116" s="2">
        <v>27.3108</v>
      </c>
      <c r="J116" s="2">
        <v>0.39800000000000002</v>
      </c>
      <c r="K116" s="2">
        <v>0.72389999999999999</v>
      </c>
      <c r="L116" s="2">
        <v>-0.67569999999999997</v>
      </c>
      <c r="M116" s="2">
        <v>-85.638900000000007</v>
      </c>
    </row>
    <row r="117" spans="2:13" x14ac:dyDescent="0.3">
      <c r="B117" s="2">
        <v>-1</v>
      </c>
      <c r="C117" s="2" t="s">
        <v>52</v>
      </c>
      <c r="D117" s="2" t="s">
        <v>25</v>
      </c>
      <c r="E117" s="2" t="s">
        <v>24</v>
      </c>
      <c r="F117" s="2"/>
      <c r="G117" s="2" t="s">
        <v>17</v>
      </c>
      <c r="H117" s="2">
        <v>-276.41019999999997</v>
      </c>
      <c r="I117" s="2">
        <v>27.3108</v>
      </c>
      <c r="J117" s="2">
        <v>0.39800000000000002</v>
      </c>
      <c r="K117" s="2">
        <v>0.72389999999999999</v>
      </c>
      <c r="L117" s="2">
        <v>0.35899999999999999</v>
      </c>
      <c r="M117" s="2">
        <v>-14.630800000000001</v>
      </c>
    </row>
    <row r="118" spans="2:13" x14ac:dyDescent="0.3">
      <c r="B118" s="2">
        <v>-1</v>
      </c>
      <c r="C118" s="2" t="s">
        <v>52</v>
      </c>
      <c r="D118" s="2" t="s">
        <v>26</v>
      </c>
      <c r="E118" s="2" t="s">
        <v>24</v>
      </c>
      <c r="F118" s="2" t="s">
        <v>21</v>
      </c>
      <c r="G118" s="2" t="s">
        <v>16</v>
      </c>
      <c r="H118" s="2">
        <v>163.13249999999999</v>
      </c>
      <c r="I118" s="2">
        <v>37.216299999999997</v>
      </c>
      <c r="J118" s="2">
        <v>1.1926000000000001</v>
      </c>
      <c r="K118" s="2">
        <v>1.4865999999999999</v>
      </c>
      <c r="L118" s="2">
        <v>2.0404</v>
      </c>
      <c r="M118" s="2">
        <v>-30.550799999999999</v>
      </c>
    </row>
    <row r="119" spans="2:13" x14ac:dyDescent="0.3">
      <c r="B119" s="2">
        <v>-1</v>
      </c>
      <c r="C119" s="2" t="s">
        <v>52</v>
      </c>
      <c r="D119" s="2" t="s">
        <v>26</v>
      </c>
      <c r="E119" s="2" t="s">
        <v>24</v>
      </c>
      <c r="F119" s="2" t="s">
        <v>21</v>
      </c>
      <c r="G119" s="2" t="s">
        <v>17</v>
      </c>
      <c r="H119" s="2">
        <v>156.9607</v>
      </c>
      <c r="I119" s="2">
        <v>37.216299999999997</v>
      </c>
      <c r="J119" s="2">
        <v>1.1926000000000001</v>
      </c>
      <c r="K119" s="2">
        <v>1.4865999999999999</v>
      </c>
      <c r="L119" s="2">
        <v>0.99950000000000006</v>
      </c>
      <c r="M119" s="2">
        <v>28.814599999999999</v>
      </c>
    </row>
    <row r="120" spans="2:13" x14ac:dyDescent="0.3">
      <c r="B120" s="2">
        <v>-1</v>
      </c>
      <c r="C120" s="2" t="s">
        <v>52</v>
      </c>
      <c r="D120" s="2" t="s">
        <v>26</v>
      </c>
      <c r="E120" s="2" t="s">
        <v>24</v>
      </c>
      <c r="F120" s="2" t="s">
        <v>27</v>
      </c>
      <c r="G120" s="2" t="s">
        <v>16</v>
      </c>
      <c r="H120" s="2">
        <v>-477.92899999999997</v>
      </c>
      <c r="I120" s="2">
        <v>-0.96419999999999995</v>
      </c>
      <c r="J120" s="2">
        <v>-0.72260000000000002</v>
      </c>
      <c r="K120" s="2">
        <v>-0.66449999999999998</v>
      </c>
      <c r="L120" s="2">
        <v>-2.8205</v>
      </c>
      <c r="M120" s="2">
        <v>-72.234700000000004</v>
      </c>
    </row>
    <row r="121" spans="2:13" x14ac:dyDescent="0.3">
      <c r="B121" s="2">
        <v>-1</v>
      </c>
      <c r="C121" s="2" t="s">
        <v>52</v>
      </c>
      <c r="D121" s="2" t="s">
        <v>26</v>
      </c>
      <c r="E121" s="2" t="s">
        <v>24</v>
      </c>
      <c r="F121" s="2" t="s">
        <v>27</v>
      </c>
      <c r="G121" s="2" t="s">
        <v>17</v>
      </c>
      <c r="H121" s="2">
        <v>-484.10070000000002</v>
      </c>
      <c r="I121" s="2">
        <v>-0.96419999999999995</v>
      </c>
      <c r="J121" s="2">
        <v>-0.72260000000000002</v>
      </c>
      <c r="K121" s="2">
        <v>-0.66449999999999998</v>
      </c>
      <c r="L121" s="2">
        <v>-0.55769999999999997</v>
      </c>
      <c r="M121" s="2">
        <v>-37.344499999999996</v>
      </c>
    </row>
    <row r="122" spans="2:13" x14ac:dyDescent="0.3">
      <c r="B122" s="2">
        <v>-1</v>
      </c>
      <c r="C122" s="2" t="s">
        <v>52</v>
      </c>
      <c r="D122" s="2" t="s">
        <v>28</v>
      </c>
      <c r="E122" s="2" t="s">
        <v>24</v>
      </c>
      <c r="F122" s="2" t="s">
        <v>21</v>
      </c>
      <c r="G122" s="2" t="s">
        <v>16</v>
      </c>
      <c r="H122" s="2">
        <v>74.218299999999999</v>
      </c>
      <c r="I122" s="2">
        <v>45.222499999999997</v>
      </c>
      <c r="J122" s="2">
        <v>1.3239000000000001</v>
      </c>
      <c r="K122" s="2">
        <v>1.7335</v>
      </c>
      <c r="L122" s="2">
        <v>1.8130999999999999</v>
      </c>
      <c r="M122" s="2">
        <v>-58.378700000000002</v>
      </c>
    </row>
    <row r="123" spans="2:13" x14ac:dyDescent="0.3">
      <c r="B123" s="2">
        <v>-1</v>
      </c>
      <c r="C123" s="2" t="s">
        <v>52</v>
      </c>
      <c r="D123" s="2" t="s">
        <v>28</v>
      </c>
      <c r="E123" s="2" t="s">
        <v>24</v>
      </c>
      <c r="F123" s="2" t="s">
        <v>21</v>
      </c>
      <c r="G123" s="2" t="s">
        <v>17</v>
      </c>
      <c r="H123" s="2">
        <v>65.9893</v>
      </c>
      <c r="I123" s="2">
        <v>45.222499999999997</v>
      </c>
      <c r="J123" s="2">
        <v>1.3239000000000001</v>
      </c>
      <c r="K123" s="2">
        <v>1.7335</v>
      </c>
      <c r="L123" s="2">
        <v>1.1134999999999999</v>
      </c>
      <c r="M123" s="2">
        <v>21.802800000000001</v>
      </c>
    </row>
    <row r="124" spans="2:13" x14ac:dyDescent="0.3">
      <c r="B124" s="2">
        <v>-1</v>
      </c>
      <c r="C124" s="2" t="s">
        <v>52</v>
      </c>
      <c r="D124" s="2" t="s">
        <v>28</v>
      </c>
      <c r="E124" s="2" t="s">
        <v>24</v>
      </c>
      <c r="F124" s="2" t="s">
        <v>27</v>
      </c>
      <c r="G124" s="2" t="s">
        <v>16</v>
      </c>
      <c r="H124" s="2">
        <v>-566.84310000000005</v>
      </c>
      <c r="I124" s="2">
        <v>7.0419999999999998</v>
      </c>
      <c r="J124" s="2">
        <v>-0.59140000000000004</v>
      </c>
      <c r="K124" s="2">
        <v>-0.41760000000000003</v>
      </c>
      <c r="L124" s="2">
        <v>-3.0478000000000001</v>
      </c>
      <c r="M124" s="2">
        <v>-100.0626</v>
      </c>
    </row>
    <row r="125" spans="2:13" x14ac:dyDescent="0.3">
      <c r="B125" s="2">
        <v>-1</v>
      </c>
      <c r="C125" s="2" t="s">
        <v>52</v>
      </c>
      <c r="D125" s="2" t="s">
        <v>28</v>
      </c>
      <c r="E125" s="2" t="s">
        <v>24</v>
      </c>
      <c r="F125" s="2" t="s">
        <v>27</v>
      </c>
      <c r="G125" s="2" t="s">
        <v>17</v>
      </c>
      <c r="H125" s="2">
        <v>-575.07209999999998</v>
      </c>
      <c r="I125" s="2">
        <v>7.0419999999999998</v>
      </c>
      <c r="J125" s="2">
        <v>-0.59140000000000004</v>
      </c>
      <c r="K125" s="2">
        <v>-0.41760000000000003</v>
      </c>
      <c r="L125" s="2">
        <v>-0.44379999999999997</v>
      </c>
      <c r="M125" s="2">
        <v>-44.356200000000001</v>
      </c>
    </row>
    <row r="126" spans="2:13" x14ac:dyDescent="0.3">
      <c r="B126" s="2">
        <v>-1</v>
      </c>
      <c r="C126" s="2" t="s">
        <v>52</v>
      </c>
      <c r="D126" s="2" t="s">
        <v>29</v>
      </c>
      <c r="E126" s="2" t="s">
        <v>24</v>
      </c>
      <c r="F126" s="2" t="s">
        <v>21</v>
      </c>
      <c r="G126" s="2" t="s">
        <v>16</v>
      </c>
      <c r="H126" s="2">
        <v>-220.548</v>
      </c>
      <c r="I126" s="2">
        <v>65.136200000000002</v>
      </c>
      <c r="J126" s="2">
        <v>0.86060000000000003</v>
      </c>
      <c r="K126" s="2">
        <v>0.74809999999999999</v>
      </c>
      <c r="L126" s="2">
        <v>0.16520000000000001</v>
      </c>
      <c r="M126" s="2">
        <v>-37.622799999999998</v>
      </c>
    </row>
    <row r="127" spans="2:13" x14ac:dyDescent="0.3">
      <c r="B127" s="2">
        <v>-1</v>
      </c>
      <c r="C127" s="2" t="s">
        <v>52</v>
      </c>
      <c r="D127" s="2" t="s">
        <v>29</v>
      </c>
      <c r="E127" s="2" t="s">
        <v>24</v>
      </c>
      <c r="F127" s="2" t="s">
        <v>21</v>
      </c>
      <c r="G127" s="2" t="s">
        <v>17</v>
      </c>
      <c r="H127" s="2">
        <v>-228.77699999999999</v>
      </c>
      <c r="I127" s="2">
        <v>65.136200000000002</v>
      </c>
      <c r="J127" s="2">
        <v>0.86060000000000003</v>
      </c>
      <c r="K127" s="2">
        <v>0.74809999999999999</v>
      </c>
      <c r="L127" s="2">
        <v>0.83799999999999997</v>
      </c>
      <c r="M127" s="2">
        <v>51.268700000000003</v>
      </c>
    </row>
    <row r="128" spans="2:13" x14ac:dyDescent="0.3">
      <c r="B128" s="2">
        <v>-1</v>
      </c>
      <c r="C128" s="2" t="s">
        <v>52</v>
      </c>
      <c r="D128" s="2" t="s">
        <v>29</v>
      </c>
      <c r="E128" s="2" t="s">
        <v>24</v>
      </c>
      <c r="F128" s="2" t="s">
        <v>27</v>
      </c>
      <c r="G128" s="2" t="s">
        <v>16</v>
      </c>
      <c r="H128" s="2">
        <v>-272.07679999999999</v>
      </c>
      <c r="I128" s="2">
        <v>-12.871600000000001</v>
      </c>
      <c r="J128" s="2">
        <v>-0.12809999999999999</v>
      </c>
      <c r="K128" s="2">
        <v>0.56769999999999998</v>
      </c>
      <c r="L128" s="2">
        <v>-1.4</v>
      </c>
      <c r="M128" s="2">
        <v>-120.8186</v>
      </c>
    </row>
    <row r="129" spans="2:13" x14ac:dyDescent="0.3">
      <c r="B129" s="2">
        <v>-1</v>
      </c>
      <c r="C129" s="2" t="s">
        <v>52</v>
      </c>
      <c r="D129" s="2" t="s">
        <v>29</v>
      </c>
      <c r="E129" s="2" t="s">
        <v>24</v>
      </c>
      <c r="F129" s="2" t="s">
        <v>27</v>
      </c>
      <c r="G129" s="2" t="s">
        <v>17</v>
      </c>
      <c r="H129" s="2">
        <v>-280.30579999999998</v>
      </c>
      <c r="I129" s="2">
        <v>-12.871600000000001</v>
      </c>
      <c r="J129" s="2">
        <v>-0.12809999999999999</v>
      </c>
      <c r="K129" s="2">
        <v>0.56769999999999998</v>
      </c>
      <c r="L129" s="2">
        <v>-0.16830000000000001</v>
      </c>
      <c r="M129" s="2">
        <v>-73.822199999999995</v>
      </c>
    </row>
    <row r="130" spans="2:13" x14ac:dyDescent="0.3">
      <c r="B130" s="2">
        <v>-1</v>
      </c>
      <c r="C130" s="2" t="s">
        <v>52</v>
      </c>
      <c r="D130" s="2" t="s">
        <v>30</v>
      </c>
      <c r="E130" s="2" t="s">
        <v>24</v>
      </c>
      <c r="F130" s="2" t="s">
        <v>21</v>
      </c>
      <c r="G130" s="2" t="s">
        <v>16</v>
      </c>
      <c r="H130" s="2">
        <v>163.13249999999999</v>
      </c>
      <c r="I130" s="2">
        <v>65.136200000000002</v>
      </c>
      <c r="J130" s="2">
        <v>1.3239000000000001</v>
      </c>
      <c r="K130" s="2">
        <v>1.7335</v>
      </c>
      <c r="L130" s="2">
        <v>2.0404</v>
      </c>
      <c r="M130" s="2">
        <v>-9.7948000000000004</v>
      </c>
    </row>
    <row r="131" spans="2:13" x14ac:dyDescent="0.3">
      <c r="B131" s="2">
        <v>-1</v>
      </c>
      <c r="C131" s="2" t="s">
        <v>52</v>
      </c>
      <c r="D131" s="2" t="s">
        <v>30</v>
      </c>
      <c r="E131" s="2" t="s">
        <v>24</v>
      </c>
      <c r="F131" s="2" t="s">
        <v>21</v>
      </c>
      <c r="G131" s="2" t="s">
        <v>17</v>
      </c>
      <c r="H131" s="2">
        <v>156.9607</v>
      </c>
      <c r="I131" s="2">
        <v>65.136200000000002</v>
      </c>
      <c r="J131" s="2">
        <v>1.3239000000000001</v>
      </c>
      <c r="K131" s="2">
        <v>1.7335</v>
      </c>
      <c r="L131" s="2">
        <v>1.1134999999999999</v>
      </c>
      <c r="M131" s="2">
        <v>58.280500000000004</v>
      </c>
    </row>
    <row r="132" spans="2:13" x14ac:dyDescent="0.3">
      <c r="B132" s="2">
        <v>-1</v>
      </c>
      <c r="C132" s="2" t="s">
        <v>52</v>
      </c>
      <c r="D132" s="2" t="s">
        <v>30</v>
      </c>
      <c r="E132" s="2" t="s">
        <v>24</v>
      </c>
      <c r="F132" s="2" t="s">
        <v>27</v>
      </c>
      <c r="G132" s="2" t="s">
        <v>16</v>
      </c>
      <c r="H132" s="2">
        <v>-566.84310000000005</v>
      </c>
      <c r="I132" s="2">
        <v>-20.8779</v>
      </c>
      <c r="J132" s="2">
        <v>-0.72260000000000002</v>
      </c>
      <c r="K132" s="2">
        <v>-0.66449999999999998</v>
      </c>
      <c r="L132" s="2">
        <v>-3.0478000000000001</v>
      </c>
      <c r="M132" s="2">
        <v>-120.8186</v>
      </c>
    </row>
    <row r="133" spans="2:13" x14ac:dyDescent="0.3">
      <c r="B133" s="2">
        <v>-1</v>
      </c>
      <c r="C133" s="2" t="s">
        <v>52</v>
      </c>
      <c r="D133" s="2" t="s">
        <v>30</v>
      </c>
      <c r="E133" s="2" t="s">
        <v>24</v>
      </c>
      <c r="F133" s="2" t="s">
        <v>27</v>
      </c>
      <c r="G133" s="2" t="s">
        <v>17</v>
      </c>
      <c r="H133" s="2">
        <v>-575.07209999999998</v>
      </c>
      <c r="I133" s="2">
        <v>-20.8779</v>
      </c>
      <c r="J133" s="2">
        <v>-0.72260000000000002</v>
      </c>
      <c r="K133" s="2">
        <v>-0.66449999999999998</v>
      </c>
      <c r="L133" s="2">
        <v>-0.55769999999999997</v>
      </c>
      <c r="M133" s="2">
        <v>-73.822199999999995</v>
      </c>
    </row>
    <row r="134" spans="2:13" x14ac:dyDescent="0.3">
      <c r="B134" s="2">
        <v>-1</v>
      </c>
      <c r="C134" s="2" t="s">
        <v>52</v>
      </c>
      <c r="D134" s="2" t="s">
        <v>31</v>
      </c>
      <c r="E134" s="2" t="s">
        <v>24</v>
      </c>
      <c r="F134" s="2" t="s">
        <v>21</v>
      </c>
      <c r="G134" s="2" t="s">
        <v>16</v>
      </c>
      <c r="H134" s="2">
        <v>-131.63380000000001</v>
      </c>
      <c r="I134" s="2">
        <v>57.13</v>
      </c>
      <c r="J134" s="2">
        <v>0.72929999999999995</v>
      </c>
      <c r="K134" s="2">
        <v>0.50119999999999998</v>
      </c>
      <c r="L134" s="2">
        <v>0.39250000000000002</v>
      </c>
      <c r="M134" s="2">
        <v>-9.7948000000000004</v>
      </c>
    </row>
    <row r="135" spans="2:13" x14ac:dyDescent="0.3">
      <c r="B135" s="2">
        <v>-1</v>
      </c>
      <c r="C135" s="2" t="s">
        <v>52</v>
      </c>
      <c r="D135" s="2" t="s">
        <v>31</v>
      </c>
      <c r="E135" s="2" t="s">
        <v>24</v>
      </c>
      <c r="F135" s="2" t="s">
        <v>21</v>
      </c>
      <c r="G135" s="2" t="s">
        <v>17</v>
      </c>
      <c r="H135" s="2">
        <v>-137.8056</v>
      </c>
      <c r="I135" s="2">
        <v>57.13</v>
      </c>
      <c r="J135" s="2">
        <v>0.72929999999999995</v>
      </c>
      <c r="K135" s="2">
        <v>0.50119999999999998</v>
      </c>
      <c r="L135" s="2">
        <v>0.72409999999999997</v>
      </c>
      <c r="M135" s="2">
        <v>58.280500000000004</v>
      </c>
    </row>
    <row r="136" spans="2:13" x14ac:dyDescent="0.3">
      <c r="B136" s="2">
        <v>-1</v>
      </c>
      <c r="C136" s="2" t="s">
        <v>52</v>
      </c>
      <c r="D136" s="2" t="s">
        <v>31</v>
      </c>
      <c r="E136" s="2" t="s">
        <v>24</v>
      </c>
      <c r="F136" s="2" t="s">
        <v>27</v>
      </c>
      <c r="G136" s="2" t="s">
        <v>16</v>
      </c>
      <c r="H136" s="2">
        <v>-183.1627</v>
      </c>
      <c r="I136" s="2">
        <v>-20.8779</v>
      </c>
      <c r="J136" s="2">
        <v>-0.25940000000000002</v>
      </c>
      <c r="K136" s="2">
        <v>0.32079999999999997</v>
      </c>
      <c r="L136" s="2">
        <v>-1.1727000000000001</v>
      </c>
      <c r="M136" s="2">
        <v>-92.990600000000001</v>
      </c>
    </row>
    <row r="137" spans="2:13" x14ac:dyDescent="0.3">
      <c r="B137" s="2">
        <v>-1</v>
      </c>
      <c r="C137" s="2" t="s">
        <v>52</v>
      </c>
      <c r="D137" s="2" t="s">
        <v>31</v>
      </c>
      <c r="E137" s="2" t="s">
        <v>24</v>
      </c>
      <c r="F137" s="2" t="s">
        <v>27</v>
      </c>
      <c r="G137" s="2" t="s">
        <v>17</v>
      </c>
      <c r="H137" s="2">
        <v>-189.33439999999999</v>
      </c>
      <c r="I137" s="2">
        <v>-20.8779</v>
      </c>
      <c r="J137" s="2">
        <v>-0.25940000000000002</v>
      </c>
      <c r="K137" s="2">
        <v>0.32079999999999997</v>
      </c>
      <c r="L137" s="2">
        <v>-0.2823</v>
      </c>
      <c r="M137" s="2">
        <v>-66.810400000000001</v>
      </c>
    </row>
    <row r="138" spans="2:13" x14ac:dyDescent="0.3">
      <c r="B138" s="2">
        <v>-1</v>
      </c>
      <c r="C138" s="2" t="s">
        <v>52</v>
      </c>
      <c r="D138" s="2" t="s">
        <v>32</v>
      </c>
      <c r="E138" s="2" t="s">
        <v>24</v>
      </c>
      <c r="F138" s="2"/>
      <c r="G138" s="2" t="s">
        <v>16</v>
      </c>
      <c r="H138" s="2">
        <v>-211.33500000000001</v>
      </c>
      <c r="I138" s="2">
        <v>22.104299999999999</v>
      </c>
      <c r="J138" s="2">
        <v>0.314</v>
      </c>
      <c r="K138" s="2">
        <v>0.56659999999999999</v>
      </c>
      <c r="L138" s="2">
        <v>-0.53069999999999995</v>
      </c>
      <c r="M138" s="2">
        <v>-67.8001</v>
      </c>
    </row>
    <row r="139" spans="2:13" x14ac:dyDescent="0.3">
      <c r="B139" s="2">
        <v>-1</v>
      </c>
      <c r="C139" s="2" t="s">
        <v>52</v>
      </c>
      <c r="D139" s="2" t="s">
        <v>32</v>
      </c>
      <c r="E139" s="2" t="s">
        <v>24</v>
      </c>
      <c r="F139" s="2"/>
      <c r="G139" s="2" t="s">
        <v>17</v>
      </c>
      <c r="H139" s="2">
        <v>-218.1925</v>
      </c>
      <c r="I139" s="2">
        <v>22.104299999999999</v>
      </c>
      <c r="J139" s="2">
        <v>0.314</v>
      </c>
      <c r="K139" s="2">
        <v>0.56659999999999999</v>
      </c>
      <c r="L139" s="2">
        <v>0.28570000000000001</v>
      </c>
      <c r="M139" s="2">
        <v>-10.329000000000001</v>
      </c>
    </row>
  </sheetData>
  <autoFilter ref="B2:M139" xr:uid="{DE7419C8-9FC8-409D-9964-764EE8180C0F}"/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ED34-508D-424A-9C48-39FB890D66AC}">
  <dimension ref="A2:V71"/>
  <sheetViews>
    <sheetView topLeftCell="J1" workbookViewId="0">
      <selection activeCell="O15" sqref="O15"/>
    </sheetView>
  </sheetViews>
  <sheetFormatPr baseColWidth="10" defaultRowHeight="14.4" x14ac:dyDescent="0.3"/>
  <cols>
    <col min="15" max="22" width="13.88671875" customWidth="1"/>
  </cols>
  <sheetData>
    <row r="2" spans="1:22" ht="46.8" x14ac:dyDescent="0.3">
      <c r="A2" s="2"/>
      <c r="B2" s="24" t="s">
        <v>33</v>
      </c>
      <c r="C2" s="24" t="s">
        <v>0</v>
      </c>
      <c r="D2" s="24" t="s">
        <v>1</v>
      </c>
      <c r="E2" s="24" t="s">
        <v>2</v>
      </c>
      <c r="F2" s="24" t="s">
        <v>3</v>
      </c>
      <c r="G2" s="24" t="s">
        <v>4</v>
      </c>
      <c r="H2" s="1" t="s">
        <v>5</v>
      </c>
      <c r="I2" s="1" t="s">
        <v>7</v>
      </c>
      <c r="J2" s="1" t="s">
        <v>8</v>
      </c>
      <c r="K2" s="1" t="s">
        <v>9</v>
      </c>
      <c r="L2" s="1" t="s">
        <v>11</v>
      </c>
      <c r="M2" s="1" t="s">
        <v>12</v>
      </c>
      <c r="O2" s="7" t="s">
        <v>53</v>
      </c>
    </row>
    <row r="3" spans="1:22" x14ac:dyDescent="0.3">
      <c r="A3" s="2"/>
      <c r="B3" s="24"/>
      <c r="C3" s="24"/>
      <c r="D3" s="24"/>
      <c r="E3" s="24"/>
      <c r="F3" s="24"/>
      <c r="G3" s="24"/>
      <c r="H3" s="1" t="s">
        <v>6</v>
      </c>
      <c r="I3" s="1" t="s">
        <v>6</v>
      </c>
      <c r="J3" s="1" t="s">
        <v>6</v>
      </c>
      <c r="K3" s="1" t="s">
        <v>10</v>
      </c>
      <c r="L3" s="1" t="s">
        <v>10</v>
      </c>
      <c r="M3" s="1" t="s">
        <v>10</v>
      </c>
      <c r="O3" s="8" t="s">
        <v>0</v>
      </c>
      <c r="P3" s="8" t="s">
        <v>1</v>
      </c>
      <c r="Q3" s="8" t="s">
        <v>54</v>
      </c>
      <c r="R3" s="8" t="s">
        <v>55</v>
      </c>
      <c r="S3" s="8" t="s">
        <v>56</v>
      </c>
      <c r="T3" s="8" t="s">
        <v>57</v>
      </c>
      <c r="U3" s="8" t="s">
        <v>58</v>
      </c>
      <c r="V3" s="8" t="s">
        <v>59</v>
      </c>
    </row>
    <row r="4" spans="1:22" x14ac:dyDescent="0.3">
      <c r="A4" s="2"/>
      <c r="B4" s="2">
        <v>-1</v>
      </c>
      <c r="C4" s="2" t="s">
        <v>49</v>
      </c>
      <c r="D4" s="2" t="s">
        <v>14</v>
      </c>
      <c r="E4" s="2" t="s">
        <v>15</v>
      </c>
      <c r="F4" s="2"/>
      <c r="G4" s="2" t="s">
        <v>16</v>
      </c>
      <c r="H4" s="2">
        <v>-455.21609999999998</v>
      </c>
      <c r="I4" s="2">
        <v>11.682600000000001</v>
      </c>
      <c r="J4" s="2">
        <v>-0.3296</v>
      </c>
      <c r="K4" s="2">
        <v>0.30049999999999999</v>
      </c>
      <c r="L4" s="2">
        <v>0.50380000000000003</v>
      </c>
      <c r="M4" s="2">
        <v>-71.194299999999998</v>
      </c>
      <c r="O4" s="9"/>
      <c r="P4" s="9"/>
      <c r="Q4" s="10" t="s">
        <v>6</v>
      </c>
      <c r="R4" s="10" t="s">
        <v>6</v>
      </c>
      <c r="S4" s="10" t="s">
        <v>10</v>
      </c>
      <c r="T4" s="10" t="s">
        <v>10</v>
      </c>
      <c r="U4" s="10" t="s">
        <v>6</v>
      </c>
      <c r="V4" s="10" t="s">
        <v>6</v>
      </c>
    </row>
    <row r="5" spans="1:22" x14ac:dyDescent="0.3">
      <c r="A5" s="2"/>
      <c r="B5" s="2">
        <v>-1</v>
      </c>
      <c r="C5" s="2" t="s">
        <v>49</v>
      </c>
      <c r="D5" s="2" t="s">
        <v>14</v>
      </c>
      <c r="E5" s="2" t="s">
        <v>15</v>
      </c>
      <c r="F5" s="2"/>
      <c r="G5" s="2" t="s">
        <v>17</v>
      </c>
      <c r="H5" s="2">
        <v>-463.66609999999997</v>
      </c>
      <c r="I5" s="2">
        <v>11.682600000000001</v>
      </c>
      <c r="J5" s="2">
        <v>-0.3296</v>
      </c>
      <c r="K5" s="2">
        <v>0.30049999999999999</v>
      </c>
      <c r="L5" s="2">
        <v>-0.35299999999999998</v>
      </c>
      <c r="M5" s="2">
        <v>-40.819499999999998</v>
      </c>
      <c r="O5" s="9" t="s">
        <v>49</v>
      </c>
      <c r="P5" s="9" t="s">
        <v>14</v>
      </c>
      <c r="Q5" s="11">
        <f t="shared" ref="Q5:Q12" si="0">_xlfn.MAXIFS($I$4:$I$70,$C$4:$C$70,$O5,$D$4:$D$70,$P5)</f>
        <v>11.682600000000001</v>
      </c>
      <c r="R5" s="11">
        <f t="shared" ref="R5:R12" si="1">_xlfn.MINIFS($I$4:$I$70,$C$4:$C$70,$O5,$D$4:$D$70,$P5)</f>
        <v>11.682600000000001</v>
      </c>
      <c r="S5" s="11">
        <f t="shared" ref="S5:S12" si="2">_xlfn.MAXIFS($M$4:$M$70,$C$4:$C$70,$O5,$D$4:$D$70,$P5)</f>
        <v>-40.819499999999998</v>
      </c>
      <c r="T5" s="11">
        <f t="shared" ref="T5:T12" si="3">_xlfn.MINIFS($M$4:$M$70,$C$4:$C$70,$O5,$D$4:$D$70,$P5)</f>
        <v>-71.194299999999998</v>
      </c>
      <c r="U5" s="11">
        <f t="shared" ref="U5:U12" si="4">_xlfn.MAXIFS($H$4:$H$70,$C$4:$C$70,$O5,$D$4:$D$70,$P5)</f>
        <v>-455.21609999999998</v>
      </c>
      <c r="V5" s="11">
        <f t="shared" ref="V5:V12" si="5">_xlfn.MINIFS($H$4:$H$70,$C$4:$C$70,$O5,$D$4:$D$70,$P5)</f>
        <v>-463.66609999999997</v>
      </c>
    </row>
    <row r="6" spans="1:22" x14ac:dyDescent="0.3">
      <c r="A6" s="2"/>
      <c r="B6" s="2">
        <v>-1</v>
      </c>
      <c r="C6" s="2" t="s">
        <v>49</v>
      </c>
      <c r="D6" s="2" t="s">
        <v>18</v>
      </c>
      <c r="E6" s="2" t="s">
        <v>15</v>
      </c>
      <c r="F6" s="2"/>
      <c r="G6" s="2" t="s">
        <v>16</v>
      </c>
      <c r="H6" s="2">
        <v>-119.3737</v>
      </c>
      <c r="I6" s="2">
        <v>6.7497999999999996</v>
      </c>
      <c r="J6" s="2">
        <v>-0.19059999999999999</v>
      </c>
      <c r="K6" s="2">
        <v>8.0600000000000005E-2</v>
      </c>
      <c r="L6" s="2">
        <v>0.26340000000000002</v>
      </c>
      <c r="M6" s="2">
        <v>-32.1083</v>
      </c>
      <c r="O6" s="9" t="s">
        <v>49</v>
      </c>
      <c r="P6" s="9" t="s">
        <v>18</v>
      </c>
      <c r="Q6" s="11">
        <f t="shared" si="0"/>
        <v>6.7497999999999996</v>
      </c>
      <c r="R6" s="11">
        <f t="shared" si="1"/>
        <v>6.7497999999999996</v>
      </c>
      <c r="S6" s="11">
        <f t="shared" si="2"/>
        <v>-14.5589</v>
      </c>
      <c r="T6" s="11">
        <f t="shared" si="3"/>
        <v>-32.1083</v>
      </c>
      <c r="U6" s="11">
        <f t="shared" si="4"/>
        <v>-119.3737</v>
      </c>
      <c r="V6" s="11">
        <f t="shared" si="5"/>
        <v>-119.3737</v>
      </c>
    </row>
    <row r="7" spans="1:22" x14ac:dyDescent="0.3">
      <c r="A7" s="2"/>
      <c r="B7" s="2">
        <v>-1</v>
      </c>
      <c r="C7" s="2" t="s">
        <v>49</v>
      </c>
      <c r="D7" s="2" t="s">
        <v>18</v>
      </c>
      <c r="E7" s="2" t="s">
        <v>15</v>
      </c>
      <c r="F7" s="2"/>
      <c r="G7" s="2" t="s">
        <v>17</v>
      </c>
      <c r="H7" s="2">
        <v>-119.3737</v>
      </c>
      <c r="I7" s="2">
        <v>6.7497999999999996</v>
      </c>
      <c r="J7" s="2">
        <v>-0.19059999999999999</v>
      </c>
      <c r="K7" s="2">
        <v>8.0600000000000005E-2</v>
      </c>
      <c r="L7" s="2">
        <v>-0.2321</v>
      </c>
      <c r="M7" s="2">
        <v>-14.5589</v>
      </c>
      <c r="O7" s="9" t="s">
        <v>49</v>
      </c>
      <c r="P7" s="9" t="s">
        <v>19</v>
      </c>
      <c r="Q7" s="11">
        <f t="shared" si="0"/>
        <v>14.5946</v>
      </c>
      <c r="R7" s="11">
        <f t="shared" si="1"/>
        <v>14.5946</v>
      </c>
      <c r="S7" s="11">
        <f t="shared" si="2"/>
        <v>348.83120000000002</v>
      </c>
      <c r="T7" s="11">
        <f t="shared" si="3"/>
        <v>338.61070000000001</v>
      </c>
      <c r="U7" s="11">
        <f t="shared" si="4"/>
        <v>274.94760000000002</v>
      </c>
      <c r="V7" s="11">
        <f t="shared" si="5"/>
        <v>274.94760000000002</v>
      </c>
    </row>
    <row r="8" spans="1:22" x14ac:dyDescent="0.3">
      <c r="A8" s="2"/>
      <c r="B8" s="2">
        <v>-1</v>
      </c>
      <c r="C8" s="2" t="s">
        <v>49</v>
      </c>
      <c r="D8" s="2" t="s">
        <v>19</v>
      </c>
      <c r="E8" s="2" t="s">
        <v>20</v>
      </c>
      <c r="F8" s="2" t="s">
        <v>21</v>
      </c>
      <c r="G8" s="2" t="s">
        <v>16</v>
      </c>
      <c r="H8" s="2">
        <v>274.94760000000002</v>
      </c>
      <c r="I8" s="2">
        <v>14.5946</v>
      </c>
      <c r="J8" s="2">
        <v>0.1036</v>
      </c>
      <c r="K8" s="2">
        <v>0.152</v>
      </c>
      <c r="L8" s="2">
        <v>0.25619999999999998</v>
      </c>
      <c r="M8" s="2">
        <v>348.83120000000002</v>
      </c>
      <c r="O8" s="9" t="s">
        <v>49</v>
      </c>
      <c r="P8" s="9" t="s">
        <v>22</v>
      </c>
      <c r="Q8" s="11">
        <f t="shared" si="0"/>
        <v>3.0297000000000001</v>
      </c>
      <c r="R8" s="11">
        <f t="shared" si="1"/>
        <v>3.0297000000000001</v>
      </c>
      <c r="S8" s="11">
        <f t="shared" si="2"/>
        <v>20.218900000000001</v>
      </c>
      <c r="T8" s="11">
        <f t="shared" si="3"/>
        <v>13.9335</v>
      </c>
      <c r="U8" s="11">
        <f t="shared" si="4"/>
        <v>12.9598</v>
      </c>
      <c r="V8" s="11">
        <f t="shared" si="5"/>
        <v>12.9598</v>
      </c>
    </row>
    <row r="9" spans="1:22" x14ac:dyDescent="0.3">
      <c r="A9" s="2"/>
      <c r="B9" s="2">
        <v>-1</v>
      </c>
      <c r="C9" s="2" t="s">
        <v>49</v>
      </c>
      <c r="D9" s="2" t="s">
        <v>19</v>
      </c>
      <c r="E9" s="2" t="s">
        <v>20</v>
      </c>
      <c r="F9" s="2" t="s">
        <v>21</v>
      </c>
      <c r="G9" s="2" t="s">
        <v>17</v>
      </c>
      <c r="H9" s="2">
        <v>274.94760000000002</v>
      </c>
      <c r="I9" s="2">
        <v>14.5946</v>
      </c>
      <c r="J9" s="2">
        <v>0.1036</v>
      </c>
      <c r="K9" s="2">
        <v>0.152</v>
      </c>
      <c r="L9" s="2">
        <v>7.9200000000000007E-2</v>
      </c>
      <c r="M9" s="2">
        <v>338.61070000000001</v>
      </c>
      <c r="O9" s="9" t="s">
        <v>96</v>
      </c>
      <c r="P9" s="9" t="s">
        <v>14</v>
      </c>
      <c r="Q9" s="11">
        <f t="shared" si="0"/>
        <v>-6.08E-2</v>
      </c>
      <c r="R9" s="11">
        <f t="shared" si="1"/>
        <v>-6.08E-2</v>
      </c>
      <c r="S9" s="11">
        <f t="shared" si="2"/>
        <v>-31.607500000000002</v>
      </c>
      <c r="T9" s="11">
        <f t="shared" si="3"/>
        <v>-31.765599999999999</v>
      </c>
      <c r="U9" s="11">
        <f t="shared" si="4"/>
        <v>-402.3741</v>
      </c>
      <c r="V9" s="11">
        <f t="shared" si="5"/>
        <v>-411.21409999999997</v>
      </c>
    </row>
    <row r="10" spans="1:22" x14ac:dyDescent="0.3">
      <c r="A10" s="2"/>
      <c r="B10" s="2">
        <v>-1</v>
      </c>
      <c r="C10" s="2" t="s">
        <v>49</v>
      </c>
      <c r="D10" s="2" t="s">
        <v>22</v>
      </c>
      <c r="E10" s="2" t="s">
        <v>20</v>
      </c>
      <c r="F10" s="2" t="s">
        <v>21</v>
      </c>
      <c r="G10" s="2" t="s">
        <v>16</v>
      </c>
      <c r="H10" s="2">
        <v>12.9598</v>
      </c>
      <c r="I10" s="2">
        <v>3.0297000000000001</v>
      </c>
      <c r="J10" s="2">
        <v>0.159</v>
      </c>
      <c r="K10" s="2">
        <v>0.28560000000000002</v>
      </c>
      <c r="L10" s="2">
        <v>0.22869999999999999</v>
      </c>
      <c r="M10" s="2">
        <v>13.9335</v>
      </c>
      <c r="O10" s="9" t="s">
        <v>96</v>
      </c>
      <c r="P10" s="9" t="s">
        <v>18</v>
      </c>
      <c r="Q10" s="11">
        <f t="shared" si="0"/>
        <v>-4.8977000000000004</v>
      </c>
      <c r="R10" s="11">
        <f t="shared" si="1"/>
        <v>-4.8977000000000004</v>
      </c>
      <c r="S10" s="11">
        <f t="shared" si="2"/>
        <v>-2.4241000000000001</v>
      </c>
      <c r="T10" s="11">
        <f t="shared" si="3"/>
        <v>-15.158099999999999</v>
      </c>
      <c r="U10" s="11">
        <f t="shared" si="4"/>
        <v>-96.295500000000004</v>
      </c>
      <c r="V10" s="11">
        <f t="shared" si="5"/>
        <v>-96.295500000000004</v>
      </c>
    </row>
    <row r="11" spans="1:22" x14ac:dyDescent="0.3">
      <c r="B11" s="2">
        <v>-1</v>
      </c>
      <c r="C11" s="2" t="s">
        <v>49</v>
      </c>
      <c r="D11" s="2" t="s">
        <v>22</v>
      </c>
      <c r="E11" s="2" t="s">
        <v>20</v>
      </c>
      <c r="F11" s="2" t="s">
        <v>21</v>
      </c>
      <c r="G11" s="2" t="s">
        <v>17</v>
      </c>
      <c r="H11" s="2">
        <v>12.9598</v>
      </c>
      <c r="I11" s="2">
        <v>3.0297000000000001</v>
      </c>
      <c r="J11" s="2">
        <v>0.159</v>
      </c>
      <c r="K11" s="2">
        <v>0.28560000000000002</v>
      </c>
      <c r="L11" s="2">
        <v>0.57899999999999996</v>
      </c>
      <c r="M11" s="2">
        <v>20.218900000000001</v>
      </c>
      <c r="O11" s="9" t="s">
        <v>96</v>
      </c>
      <c r="P11" s="9" t="s">
        <v>19</v>
      </c>
      <c r="Q11" s="11">
        <f t="shared" si="0"/>
        <v>4.8775000000000004</v>
      </c>
      <c r="R11" s="11">
        <f t="shared" si="1"/>
        <v>4.8775000000000004</v>
      </c>
      <c r="S11" s="11">
        <f t="shared" si="2"/>
        <v>42.169600000000003</v>
      </c>
      <c r="T11" s="11">
        <f t="shared" si="3"/>
        <v>38.202500000000001</v>
      </c>
      <c r="U11" s="11">
        <f t="shared" si="4"/>
        <v>126.7467</v>
      </c>
      <c r="V11" s="11">
        <f t="shared" si="5"/>
        <v>126.7467</v>
      </c>
    </row>
    <row r="12" spans="1:22" x14ac:dyDescent="0.3">
      <c r="B12" s="2">
        <v>-1</v>
      </c>
      <c r="C12" s="2" t="s">
        <v>49</v>
      </c>
      <c r="D12" s="2" t="s">
        <v>23</v>
      </c>
      <c r="E12" s="2" t="s">
        <v>24</v>
      </c>
      <c r="F12" s="2"/>
      <c r="G12" s="2" t="s">
        <v>16</v>
      </c>
      <c r="H12" s="2">
        <v>-637.30250000000001</v>
      </c>
      <c r="I12" s="2">
        <v>16.355699999999999</v>
      </c>
      <c r="J12" s="2">
        <v>-0.46139999999999998</v>
      </c>
      <c r="K12" s="2">
        <v>0.42059999999999997</v>
      </c>
      <c r="L12" s="2">
        <v>0.70530000000000004</v>
      </c>
      <c r="M12" s="2">
        <v>-99.671999999999997</v>
      </c>
      <c r="O12" s="9" t="s">
        <v>96</v>
      </c>
      <c r="P12" s="9" t="s">
        <v>22</v>
      </c>
      <c r="Q12" s="11">
        <f t="shared" si="0"/>
        <v>10.631</v>
      </c>
      <c r="R12" s="11">
        <f t="shared" si="1"/>
        <v>10.631</v>
      </c>
      <c r="S12" s="11">
        <f t="shared" si="2"/>
        <v>265.16390000000001</v>
      </c>
      <c r="T12" s="11">
        <f t="shared" si="3"/>
        <v>241.40520000000001</v>
      </c>
      <c r="U12" s="11">
        <f t="shared" si="4"/>
        <v>13.680999999999999</v>
      </c>
      <c r="V12" s="11">
        <f t="shared" si="5"/>
        <v>13.680999999999999</v>
      </c>
    </row>
    <row r="13" spans="1:22" x14ac:dyDescent="0.3">
      <c r="B13" s="2">
        <v>-1</v>
      </c>
      <c r="C13" s="2" t="s">
        <v>49</v>
      </c>
      <c r="D13" s="2" t="s">
        <v>23</v>
      </c>
      <c r="E13" s="2" t="s">
        <v>24</v>
      </c>
      <c r="F13" s="2"/>
      <c r="G13" s="2" t="s">
        <v>17</v>
      </c>
      <c r="H13" s="2">
        <v>-649.13250000000005</v>
      </c>
      <c r="I13" s="2">
        <v>16.355699999999999</v>
      </c>
      <c r="J13" s="2">
        <v>-0.46139999999999998</v>
      </c>
      <c r="K13" s="2">
        <v>0.42059999999999997</v>
      </c>
      <c r="L13" s="2">
        <v>-0.49430000000000002</v>
      </c>
      <c r="M13" s="2">
        <v>-57.147300000000001</v>
      </c>
    </row>
    <row r="14" spans="1:22" x14ac:dyDescent="0.3">
      <c r="B14" s="2">
        <v>-1</v>
      </c>
      <c r="C14" s="2" t="s">
        <v>49</v>
      </c>
      <c r="D14" s="2" t="s">
        <v>25</v>
      </c>
      <c r="E14" s="2" t="s">
        <v>24</v>
      </c>
      <c r="F14" s="2"/>
      <c r="G14" s="2" t="s">
        <v>16</v>
      </c>
      <c r="H14" s="2">
        <v>-737.25720000000001</v>
      </c>
      <c r="I14" s="2">
        <v>24.8188</v>
      </c>
      <c r="J14" s="2">
        <v>-0.70040000000000002</v>
      </c>
      <c r="K14" s="2">
        <v>0.48949999999999999</v>
      </c>
      <c r="L14" s="2">
        <v>1.0261</v>
      </c>
      <c r="M14" s="2">
        <v>-136.8065</v>
      </c>
    </row>
    <row r="15" spans="1:22" x14ac:dyDescent="0.3">
      <c r="B15" s="2">
        <v>-1</v>
      </c>
      <c r="C15" s="2" t="s">
        <v>49</v>
      </c>
      <c r="D15" s="2" t="s">
        <v>25</v>
      </c>
      <c r="E15" s="2" t="s">
        <v>24</v>
      </c>
      <c r="F15" s="2"/>
      <c r="G15" s="2" t="s">
        <v>17</v>
      </c>
      <c r="H15" s="2">
        <v>-747.3972</v>
      </c>
      <c r="I15" s="2">
        <v>24.8188</v>
      </c>
      <c r="J15" s="2">
        <v>-0.70040000000000002</v>
      </c>
      <c r="K15" s="2">
        <v>0.48949999999999999</v>
      </c>
      <c r="L15" s="2">
        <v>-0.79500000000000004</v>
      </c>
      <c r="M15" s="2">
        <v>-72.277600000000007</v>
      </c>
    </row>
    <row r="16" spans="1:22" x14ac:dyDescent="0.3">
      <c r="B16" s="2">
        <v>-1</v>
      </c>
      <c r="C16" s="2" t="s">
        <v>49</v>
      </c>
      <c r="D16" s="2" t="s">
        <v>26</v>
      </c>
      <c r="E16" s="2" t="s">
        <v>24</v>
      </c>
      <c r="F16" s="2" t="s">
        <v>21</v>
      </c>
      <c r="G16" s="2" t="s">
        <v>16</v>
      </c>
      <c r="H16" s="2">
        <v>-24.767900000000001</v>
      </c>
      <c r="I16" s="2">
        <v>30.9468</v>
      </c>
      <c r="J16" s="2">
        <v>-0.1515</v>
      </c>
      <c r="K16" s="2">
        <v>0.48320000000000002</v>
      </c>
      <c r="L16" s="2">
        <v>0.81220000000000003</v>
      </c>
      <c r="M16" s="2">
        <v>424.28890000000001</v>
      </c>
    </row>
    <row r="17" spans="2:13" x14ac:dyDescent="0.3">
      <c r="B17" s="2">
        <v>-1</v>
      </c>
      <c r="C17" s="2" t="s">
        <v>49</v>
      </c>
      <c r="D17" s="2" t="s">
        <v>26</v>
      </c>
      <c r="E17" s="2" t="s">
        <v>24</v>
      </c>
      <c r="F17" s="2" t="s">
        <v>21</v>
      </c>
      <c r="G17" s="2" t="s">
        <v>17</v>
      </c>
      <c r="H17" s="2">
        <v>-32.372900000000001</v>
      </c>
      <c r="I17" s="2">
        <v>30.9468</v>
      </c>
      <c r="J17" s="2">
        <v>-0.1515</v>
      </c>
      <c r="K17" s="2">
        <v>0.48320000000000002</v>
      </c>
      <c r="L17" s="2">
        <v>-0.2069</v>
      </c>
      <c r="M17" s="2">
        <v>437.3175</v>
      </c>
    </row>
    <row r="18" spans="2:13" x14ac:dyDescent="0.3">
      <c r="B18" s="2">
        <v>-1</v>
      </c>
      <c r="C18" s="2" t="s">
        <v>49</v>
      </c>
      <c r="D18" s="2" t="s">
        <v>26</v>
      </c>
      <c r="E18" s="2" t="s">
        <v>24</v>
      </c>
      <c r="F18" s="2" t="s">
        <v>27</v>
      </c>
      <c r="G18" s="2" t="s">
        <v>16</v>
      </c>
      <c r="H18" s="2">
        <v>-794.62109999999996</v>
      </c>
      <c r="I18" s="2">
        <v>-9.9179999999999993</v>
      </c>
      <c r="J18" s="2">
        <v>-0.44169999999999998</v>
      </c>
      <c r="K18" s="2">
        <v>5.7599999999999998E-2</v>
      </c>
      <c r="L18" s="2">
        <v>9.4700000000000006E-2</v>
      </c>
      <c r="M18" s="2">
        <v>-552.43859999999995</v>
      </c>
    </row>
    <row r="19" spans="2:13" x14ac:dyDescent="0.3">
      <c r="B19" s="2">
        <v>-1</v>
      </c>
      <c r="C19" s="2" t="s">
        <v>49</v>
      </c>
      <c r="D19" s="2" t="s">
        <v>26</v>
      </c>
      <c r="E19" s="2" t="s">
        <v>24</v>
      </c>
      <c r="F19" s="2" t="s">
        <v>27</v>
      </c>
      <c r="G19" s="2" t="s">
        <v>17</v>
      </c>
      <c r="H19" s="2">
        <v>-802.22609999999997</v>
      </c>
      <c r="I19" s="2">
        <v>-9.9179999999999993</v>
      </c>
      <c r="J19" s="2">
        <v>-0.44169999999999998</v>
      </c>
      <c r="K19" s="2">
        <v>5.7599999999999998E-2</v>
      </c>
      <c r="L19" s="2">
        <v>-0.42859999999999998</v>
      </c>
      <c r="M19" s="2">
        <v>-510.79250000000002</v>
      </c>
    </row>
    <row r="20" spans="2:13" x14ac:dyDescent="0.3">
      <c r="B20" s="2">
        <v>-1</v>
      </c>
      <c r="C20" s="2" t="s">
        <v>49</v>
      </c>
      <c r="D20" s="2" t="s">
        <v>28</v>
      </c>
      <c r="E20" s="2" t="s">
        <v>24</v>
      </c>
      <c r="F20" s="2" t="s">
        <v>21</v>
      </c>
      <c r="G20" s="2" t="s">
        <v>16</v>
      </c>
      <c r="H20" s="2">
        <v>-280.70639999999997</v>
      </c>
      <c r="I20" s="2">
        <v>41.201300000000003</v>
      </c>
      <c r="J20" s="2">
        <v>-0.441</v>
      </c>
      <c r="K20" s="2">
        <v>0.65390000000000004</v>
      </c>
      <c r="L20" s="2">
        <v>1.2266999999999999</v>
      </c>
      <c r="M20" s="2">
        <v>370.82220000000001</v>
      </c>
    </row>
    <row r="21" spans="2:13" x14ac:dyDescent="0.3">
      <c r="B21" s="2">
        <v>-1</v>
      </c>
      <c r="C21" s="2" t="s">
        <v>49</v>
      </c>
      <c r="D21" s="2" t="s">
        <v>28</v>
      </c>
      <c r="E21" s="2" t="s">
        <v>24</v>
      </c>
      <c r="F21" s="2" t="s">
        <v>21</v>
      </c>
      <c r="G21" s="2" t="s">
        <v>17</v>
      </c>
      <c r="H21" s="2">
        <v>-290.84640000000002</v>
      </c>
      <c r="I21" s="2">
        <v>41.201300000000003</v>
      </c>
      <c r="J21" s="2">
        <v>-0.441</v>
      </c>
      <c r="K21" s="2">
        <v>0.65390000000000004</v>
      </c>
      <c r="L21" s="2">
        <v>-0.54490000000000005</v>
      </c>
      <c r="M21" s="2">
        <v>410.5127</v>
      </c>
    </row>
    <row r="22" spans="2:13" x14ac:dyDescent="0.3">
      <c r="B22" s="2">
        <v>-1</v>
      </c>
      <c r="C22" s="2" t="s">
        <v>49</v>
      </c>
      <c r="D22" s="2" t="s">
        <v>28</v>
      </c>
      <c r="E22" s="2" t="s">
        <v>24</v>
      </c>
      <c r="F22" s="2" t="s">
        <v>27</v>
      </c>
      <c r="G22" s="2" t="s">
        <v>16</v>
      </c>
      <c r="H22" s="2">
        <v>-1050.5596</v>
      </c>
      <c r="I22" s="2">
        <v>0.33650000000000002</v>
      </c>
      <c r="J22" s="2">
        <v>-0.73109999999999997</v>
      </c>
      <c r="K22" s="2">
        <v>0.22839999999999999</v>
      </c>
      <c r="L22" s="2">
        <v>0.50929999999999997</v>
      </c>
      <c r="M22" s="2">
        <v>-605.90530000000001</v>
      </c>
    </row>
    <row r="23" spans="2:13" x14ac:dyDescent="0.3">
      <c r="B23" s="2">
        <v>-1</v>
      </c>
      <c r="C23" s="2" t="s">
        <v>49</v>
      </c>
      <c r="D23" s="2" t="s">
        <v>28</v>
      </c>
      <c r="E23" s="2" t="s">
        <v>24</v>
      </c>
      <c r="F23" s="2" t="s">
        <v>27</v>
      </c>
      <c r="G23" s="2" t="s">
        <v>17</v>
      </c>
      <c r="H23" s="2">
        <v>-1060.6995999999999</v>
      </c>
      <c r="I23" s="2">
        <v>0.33650000000000002</v>
      </c>
      <c r="J23" s="2">
        <v>-0.73109999999999997</v>
      </c>
      <c r="K23" s="2">
        <v>0.22839999999999999</v>
      </c>
      <c r="L23" s="2">
        <v>-0.76659999999999995</v>
      </c>
      <c r="M23" s="2">
        <v>-537.59730000000002</v>
      </c>
    </row>
    <row r="24" spans="2:13" x14ac:dyDescent="0.3">
      <c r="B24" s="2">
        <v>-1</v>
      </c>
      <c r="C24" s="2" t="s">
        <v>49</v>
      </c>
      <c r="D24" s="2" t="s">
        <v>29</v>
      </c>
      <c r="E24" s="2" t="s">
        <v>24</v>
      </c>
      <c r="F24" s="2" t="s">
        <v>21</v>
      </c>
      <c r="G24" s="2" t="s">
        <v>16</v>
      </c>
      <c r="H24" s="2">
        <v>-647.48929999999996</v>
      </c>
      <c r="I24" s="2">
        <v>25.0105</v>
      </c>
      <c r="J24" s="2">
        <v>-0.36349999999999999</v>
      </c>
      <c r="K24" s="2">
        <v>0.84109999999999996</v>
      </c>
      <c r="L24" s="2">
        <v>1.1881999999999999</v>
      </c>
      <c r="M24" s="2">
        <v>-98.034599999999998</v>
      </c>
    </row>
    <row r="25" spans="2:13" x14ac:dyDescent="0.3">
      <c r="B25" s="2">
        <v>-1</v>
      </c>
      <c r="C25" s="2" t="s">
        <v>49</v>
      </c>
      <c r="D25" s="2" t="s">
        <v>29</v>
      </c>
      <c r="E25" s="2" t="s">
        <v>24</v>
      </c>
      <c r="F25" s="2" t="s">
        <v>21</v>
      </c>
      <c r="G25" s="2" t="s">
        <v>17</v>
      </c>
      <c r="H25" s="2">
        <v>-657.62929999999994</v>
      </c>
      <c r="I25" s="2">
        <v>25.0105</v>
      </c>
      <c r="J25" s="2">
        <v>-0.36349999999999999</v>
      </c>
      <c r="K25" s="2">
        <v>0.84109999999999996</v>
      </c>
      <c r="L25" s="2">
        <v>0.15479999999999999</v>
      </c>
      <c r="M25" s="2">
        <v>-35.235900000000001</v>
      </c>
    </row>
    <row r="26" spans="2:13" x14ac:dyDescent="0.3">
      <c r="B26" s="2">
        <v>-1</v>
      </c>
      <c r="C26" s="2" t="s">
        <v>49</v>
      </c>
      <c r="D26" s="2" t="s">
        <v>29</v>
      </c>
      <c r="E26" s="2" t="s">
        <v>24</v>
      </c>
      <c r="F26" s="2" t="s">
        <v>27</v>
      </c>
      <c r="G26" s="2" t="s">
        <v>16</v>
      </c>
      <c r="H26" s="2">
        <v>-683.77679999999998</v>
      </c>
      <c r="I26" s="2">
        <v>16.5274</v>
      </c>
      <c r="J26" s="2">
        <v>-0.80859999999999999</v>
      </c>
      <c r="K26" s="2">
        <v>4.1300000000000003E-2</v>
      </c>
      <c r="L26" s="2">
        <v>0.54779999999999995</v>
      </c>
      <c r="M26" s="2">
        <v>-137.04839999999999</v>
      </c>
    </row>
    <row r="27" spans="2:13" x14ac:dyDescent="0.3">
      <c r="B27" s="2">
        <v>-1</v>
      </c>
      <c r="C27" s="2" t="s">
        <v>49</v>
      </c>
      <c r="D27" s="2" t="s">
        <v>29</v>
      </c>
      <c r="E27" s="2" t="s">
        <v>24</v>
      </c>
      <c r="F27" s="2" t="s">
        <v>27</v>
      </c>
      <c r="G27" s="2" t="s">
        <v>17</v>
      </c>
      <c r="H27" s="2">
        <v>-693.91679999999997</v>
      </c>
      <c r="I27" s="2">
        <v>16.5274</v>
      </c>
      <c r="J27" s="2">
        <v>-0.80859999999999999</v>
      </c>
      <c r="K27" s="2">
        <v>4.1300000000000003E-2</v>
      </c>
      <c r="L27" s="2">
        <v>-1.4662999999999999</v>
      </c>
      <c r="M27" s="2">
        <v>-91.848699999999994</v>
      </c>
    </row>
    <row r="28" spans="2:13" x14ac:dyDescent="0.3">
      <c r="B28" s="2">
        <v>-1</v>
      </c>
      <c r="C28" s="2" t="s">
        <v>49</v>
      </c>
      <c r="D28" s="2" t="s">
        <v>30</v>
      </c>
      <c r="E28" s="2" t="s">
        <v>24</v>
      </c>
      <c r="F28" s="2" t="s">
        <v>21</v>
      </c>
      <c r="G28" s="2" t="s">
        <v>16</v>
      </c>
      <c r="H28" s="2">
        <v>-24.767900000000001</v>
      </c>
      <c r="I28" s="2">
        <v>41.201300000000003</v>
      </c>
      <c r="J28" s="2">
        <v>-7.3999999999999996E-2</v>
      </c>
      <c r="K28" s="2">
        <v>0.84109999999999996</v>
      </c>
      <c r="L28" s="2">
        <v>1.2266999999999999</v>
      </c>
      <c r="M28" s="2">
        <v>424.28890000000001</v>
      </c>
    </row>
    <row r="29" spans="2:13" x14ac:dyDescent="0.3">
      <c r="B29" s="2">
        <v>-1</v>
      </c>
      <c r="C29" s="2" t="s">
        <v>49</v>
      </c>
      <c r="D29" s="2" t="s">
        <v>30</v>
      </c>
      <c r="E29" s="2" t="s">
        <v>24</v>
      </c>
      <c r="F29" s="2" t="s">
        <v>21</v>
      </c>
      <c r="G29" s="2" t="s">
        <v>17</v>
      </c>
      <c r="H29" s="2">
        <v>-32.372900000000001</v>
      </c>
      <c r="I29" s="2">
        <v>41.201300000000003</v>
      </c>
      <c r="J29" s="2">
        <v>-7.3999999999999996E-2</v>
      </c>
      <c r="K29" s="2">
        <v>0.84109999999999996</v>
      </c>
      <c r="L29" s="2">
        <v>0.49280000000000002</v>
      </c>
      <c r="M29" s="2">
        <v>437.3175</v>
      </c>
    </row>
    <row r="30" spans="2:13" x14ac:dyDescent="0.3">
      <c r="B30" s="2">
        <v>-1</v>
      </c>
      <c r="C30" s="2" t="s">
        <v>49</v>
      </c>
      <c r="D30" s="2" t="s">
        <v>30</v>
      </c>
      <c r="E30" s="2" t="s">
        <v>24</v>
      </c>
      <c r="F30" s="2" t="s">
        <v>27</v>
      </c>
      <c r="G30" s="2" t="s">
        <v>16</v>
      </c>
      <c r="H30" s="2">
        <v>-1050.5596</v>
      </c>
      <c r="I30" s="2">
        <v>-9.9179999999999993</v>
      </c>
      <c r="J30" s="2">
        <v>-0.80859999999999999</v>
      </c>
      <c r="K30" s="2">
        <v>-0.1295</v>
      </c>
      <c r="L30" s="2">
        <v>9.4700000000000006E-2</v>
      </c>
      <c r="M30" s="2">
        <v>-605.90530000000001</v>
      </c>
    </row>
    <row r="31" spans="2:13" x14ac:dyDescent="0.3">
      <c r="B31" s="2">
        <v>-1</v>
      </c>
      <c r="C31" s="2" t="s">
        <v>49</v>
      </c>
      <c r="D31" s="2" t="s">
        <v>30</v>
      </c>
      <c r="E31" s="2" t="s">
        <v>24</v>
      </c>
      <c r="F31" s="2" t="s">
        <v>27</v>
      </c>
      <c r="G31" s="2" t="s">
        <v>17</v>
      </c>
      <c r="H31" s="2">
        <v>-1060.6995999999999</v>
      </c>
      <c r="I31" s="2">
        <v>-9.9179999999999993</v>
      </c>
      <c r="J31" s="2">
        <v>-0.80859999999999999</v>
      </c>
      <c r="K31" s="2">
        <v>-0.1295</v>
      </c>
      <c r="L31" s="2">
        <v>-1.4662999999999999</v>
      </c>
      <c r="M31" s="2">
        <v>-537.59730000000002</v>
      </c>
    </row>
    <row r="32" spans="2:13" x14ac:dyDescent="0.3">
      <c r="B32" s="2">
        <v>-1</v>
      </c>
      <c r="C32" s="2" t="s">
        <v>49</v>
      </c>
      <c r="D32" s="2" t="s">
        <v>31</v>
      </c>
      <c r="E32" s="2" t="s">
        <v>24</v>
      </c>
      <c r="F32" s="2" t="s">
        <v>21</v>
      </c>
      <c r="G32" s="2" t="s">
        <v>16</v>
      </c>
      <c r="H32" s="2">
        <v>-391.55070000000001</v>
      </c>
      <c r="I32" s="2">
        <v>14.7559</v>
      </c>
      <c r="J32" s="2">
        <v>-7.3999999999999996E-2</v>
      </c>
      <c r="K32" s="2">
        <v>0.67030000000000001</v>
      </c>
      <c r="L32" s="2">
        <v>0.77370000000000005</v>
      </c>
      <c r="M32" s="2">
        <v>-44.567999999999998</v>
      </c>
    </row>
    <row r="33" spans="2:13" x14ac:dyDescent="0.3">
      <c r="B33" s="2">
        <v>-1</v>
      </c>
      <c r="C33" s="2" t="s">
        <v>49</v>
      </c>
      <c r="D33" s="2" t="s">
        <v>31</v>
      </c>
      <c r="E33" s="2" t="s">
        <v>24</v>
      </c>
      <c r="F33" s="2" t="s">
        <v>21</v>
      </c>
      <c r="G33" s="2" t="s">
        <v>17</v>
      </c>
      <c r="H33" s="2">
        <v>-399.15570000000002</v>
      </c>
      <c r="I33" s="2">
        <v>14.7559</v>
      </c>
      <c r="J33" s="2">
        <v>-7.3999999999999996E-2</v>
      </c>
      <c r="K33" s="2">
        <v>0.67030000000000001</v>
      </c>
      <c r="L33" s="2">
        <v>0.49280000000000002</v>
      </c>
      <c r="M33" s="2">
        <v>-8.4311000000000007</v>
      </c>
    </row>
    <row r="34" spans="2:13" x14ac:dyDescent="0.3">
      <c r="B34" s="2">
        <v>-1</v>
      </c>
      <c r="C34" s="2" t="s">
        <v>49</v>
      </c>
      <c r="D34" s="2" t="s">
        <v>31</v>
      </c>
      <c r="E34" s="2" t="s">
        <v>24</v>
      </c>
      <c r="F34" s="2" t="s">
        <v>27</v>
      </c>
      <c r="G34" s="2" t="s">
        <v>16</v>
      </c>
      <c r="H34" s="2">
        <v>-427.83819999999997</v>
      </c>
      <c r="I34" s="2">
        <v>6.2728000000000002</v>
      </c>
      <c r="J34" s="2">
        <v>-0.51919999999999999</v>
      </c>
      <c r="K34" s="2">
        <v>-0.1295</v>
      </c>
      <c r="L34" s="2">
        <v>0.13320000000000001</v>
      </c>
      <c r="M34" s="2">
        <v>-83.581800000000001</v>
      </c>
    </row>
    <row r="35" spans="2:13" x14ac:dyDescent="0.3">
      <c r="B35" s="2">
        <v>-1</v>
      </c>
      <c r="C35" s="2" t="s">
        <v>49</v>
      </c>
      <c r="D35" s="2" t="s">
        <v>31</v>
      </c>
      <c r="E35" s="2" t="s">
        <v>24</v>
      </c>
      <c r="F35" s="2" t="s">
        <v>27</v>
      </c>
      <c r="G35" s="2" t="s">
        <v>17</v>
      </c>
      <c r="H35" s="2">
        <v>-435.44319999999999</v>
      </c>
      <c r="I35" s="2">
        <v>6.2728000000000002</v>
      </c>
      <c r="J35" s="2">
        <v>-0.51919999999999999</v>
      </c>
      <c r="K35" s="2">
        <v>-0.1295</v>
      </c>
      <c r="L35" s="2">
        <v>-1.1283000000000001</v>
      </c>
      <c r="M35" s="2">
        <v>-65.043999999999997</v>
      </c>
    </row>
    <row r="36" spans="2:13" x14ac:dyDescent="0.3">
      <c r="B36" s="2">
        <v>-1</v>
      </c>
      <c r="C36" s="2" t="s">
        <v>49</v>
      </c>
      <c r="D36" s="2" t="s">
        <v>32</v>
      </c>
      <c r="E36" s="2" t="s">
        <v>24</v>
      </c>
      <c r="F36" s="2"/>
      <c r="G36" s="2" t="s">
        <v>16</v>
      </c>
      <c r="H36" s="2">
        <v>-574.58979999999997</v>
      </c>
      <c r="I36" s="2">
        <v>18.432400000000001</v>
      </c>
      <c r="J36" s="2">
        <v>-0.52010000000000001</v>
      </c>
      <c r="K36" s="2">
        <v>0.38109999999999999</v>
      </c>
      <c r="L36" s="2">
        <v>0.76719999999999999</v>
      </c>
      <c r="M36" s="2">
        <v>-103.3027</v>
      </c>
    </row>
    <row r="37" spans="2:13" x14ac:dyDescent="0.3">
      <c r="B37" s="2">
        <v>-1</v>
      </c>
      <c r="C37" s="2" t="s">
        <v>49</v>
      </c>
      <c r="D37" s="2" t="s">
        <v>32</v>
      </c>
      <c r="E37" s="2" t="s">
        <v>24</v>
      </c>
      <c r="F37" s="2"/>
      <c r="G37" s="2" t="s">
        <v>17</v>
      </c>
      <c r="H37" s="2">
        <v>-583.03980000000001</v>
      </c>
      <c r="I37" s="2">
        <v>18.432400000000001</v>
      </c>
      <c r="J37" s="2">
        <v>-0.52010000000000001</v>
      </c>
      <c r="K37" s="2">
        <v>0.38109999999999999</v>
      </c>
      <c r="L37" s="2">
        <v>-0.58509999999999995</v>
      </c>
      <c r="M37" s="2">
        <v>-55.378399999999999</v>
      </c>
    </row>
    <row r="38" spans="2:13" x14ac:dyDescent="0.3">
      <c r="B38" s="2">
        <v>-1</v>
      </c>
      <c r="C38" s="2" t="s">
        <v>96</v>
      </c>
      <c r="D38" s="2" t="s">
        <v>14</v>
      </c>
      <c r="E38" s="2" t="s">
        <v>15</v>
      </c>
      <c r="F38" s="2"/>
      <c r="G38" s="2" t="s">
        <v>16</v>
      </c>
      <c r="H38" s="2">
        <v>-402.3741</v>
      </c>
      <c r="I38" s="2">
        <v>-6.08E-2</v>
      </c>
      <c r="J38" s="2">
        <v>-0.3362</v>
      </c>
      <c r="K38" s="2">
        <v>-4.3900000000000002E-2</v>
      </c>
      <c r="L38" s="2">
        <v>0.61099999999999999</v>
      </c>
      <c r="M38" s="2">
        <v>-31.607500000000002</v>
      </c>
    </row>
    <row r="39" spans="2:13" x14ac:dyDescent="0.3">
      <c r="B39" s="2">
        <v>-1</v>
      </c>
      <c r="C39" s="2" t="s">
        <v>96</v>
      </c>
      <c r="D39" s="2" t="s">
        <v>14</v>
      </c>
      <c r="E39" s="2" t="s">
        <v>15</v>
      </c>
      <c r="F39" s="2"/>
      <c r="G39" s="2" t="s">
        <v>17</v>
      </c>
      <c r="H39" s="2">
        <v>-411.21409999999997</v>
      </c>
      <c r="I39" s="2">
        <v>-6.08E-2</v>
      </c>
      <c r="J39" s="2">
        <v>-0.3362</v>
      </c>
      <c r="K39" s="2">
        <v>-4.3900000000000002E-2</v>
      </c>
      <c r="L39" s="2">
        <v>-0.26300000000000001</v>
      </c>
      <c r="M39" s="2">
        <v>-31.765599999999999</v>
      </c>
    </row>
    <row r="40" spans="2:13" x14ac:dyDescent="0.3">
      <c r="B40" s="2">
        <v>-1</v>
      </c>
      <c r="C40" s="2" t="s">
        <v>96</v>
      </c>
      <c r="D40" s="2" t="s">
        <v>18</v>
      </c>
      <c r="E40" s="2" t="s">
        <v>15</v>
      </c>
      <c r="F40" s="2"/>
      <c r="G40" s="2" t="s">
        <v>16</v>
      </c>
      <c r="H40" s="2">
        <v>-96.295500000000004</v>
      </c>
      <c r="I40" s="2">
        <v>-4.8977000000000004</v>
      </c>
      <c r="J40" s="2">
        <v>-0.22009999999999999</v>
      </c>
      <c r="K40" s="2">
        <v>2.7300000000000001E-2</v>
      </c>
      <c r="L40" s="2">
        <v>0.38040000000000002</v>
      </c>
      <c r="M40" s="2">
        <v>-2.4241000000000001</v>
      </c>
    </row>
    <row r="41" spans="2:13" x14ac:dyDescent="0.3">
      <c r="B41" s="2">
        <v>-1</v>
      </c>
      <c r="C41" s="2" t="s">
        <v>96</v>
      </c>
      <c r="D41" s="2" t="s">
        <v>18</v>
      </c>
      <c r="E41" s="2" t="s">
        <v>15</v>
      </c>
      <c r="F41" s="2"/>
      <c r="G41" s="2" t="s">
        <v>17</v>
      </c>
      <c r="H41" s="2">
        <v>-96.295500000000004</v>
      </c>
      <c r="I41" s="2">
        <v>-4.8977000000000004</v>
      </c>
      <c r="J41" s="2">
        <v>-0.22009999999999999</v>
      </c>
      <c r="K41" s="2">
        <v>2.7300000000000001E-2</v>
      </c>
      <c r="L41" s="2">
        <v>-0.1918</v>
      </c>
      <c r="M41" s="2">
        <v>-15.158099999999999</v>
      </c>
    </row>
    <row r="42" spans="2:13" x14ac:dyDescent="0.3">
      <c r="B42" s="2">
        <v>-1</v>
      </c>
      <c r="C42" s="2" t="s">
        <v>96</v>
      </c>
      <c r="D42" s="2" t="s">
        <v>19</v>
      </c>
      <c r="E42" s="2" t="s">
        <v>20</v>
      </c>
      <c r="F42" s="2" t="s">
        <v>21</v>
      </c>
      <c r="G42" s="2" t="s">
        <v>16</v>
      </c>
      <c r="H42" s="2">
        <v>126.7467</v>
      </c>
      <c r="I42" s="2">
        <v>4.8775000000000004</v>
      </c>
      <c r="J42" s="2">
        <v>0.27900000000000003</v>
      </c>
      <c r="K42" s="2">
        <v>0.2203</v>
      </c>
      <c r="L42" s="2">
        <v>1.0669</v>
      </c>
      <c r="M42" s="2">
        <v>42.169600000000003</v>
      </c>
    </row>
    <row r="43" spans="2:13" x14ac:dyDescent="0.3">
      <c r="B43" s="2">
        <v>-1</v>
      </c>
      <c r="C43" s="2" t="s">
        <v>96</v>
      </c>
      <c r="D43" s="2" t="s">
        <v>19</v>
      </c>
      <c r="E43" s="2" t="s">
        <v>20</v>
      </c>
      <c r="F43" s="2" t="s">
        <v>21</v>
      </c>
      <c r="G43" s="2" t="s">
        <v>17</v>
      </c>
      <c r="H43" s="2">
        <v>126.7467</v>
      </c>
      <c r="I43" s="2">
        <v>4.8775000000000004</v>
      </c>
      <c r="J43" s="2">
        <v>0.27900000000000003</v>
      </c>
      <c r="K43" s="2">
        <v>0.2203</v>
      </c>
      <c r="L43" s="2">
        <v>0.77949999999999997</v>
      </c>
      <c r="M43" s="2">
        <v>38.202500000000001</v>
      </c>
    </row>
    <row r="44" spans="2:13" x14ac:dyDescent="0.3">
      <c r="B44" s="2">
        <v>-1</v>
      </c>
      <c r="C44" s="2" t="s">
        <v>96</v>
      </c>
      <c r="D44" s="2" t="s">
        <v>22</v>
      </c>
      <c r="E44" s="2" t="s">
        <v>20</v>
      </c>
      <c r="F44" s="2" t="s">
        <v>21</v>
      </c>
      <c r="G44" s="2" t="s">
        <v>16</v>
      </c>
      <c r="H44" s="2">
        <v>13.680999999999999</v>
      </c>
      <c r="I44" s="2">
        <v>10.631</v>
      </c>
      <c r="J44" s="2">
        <v>6.0699999999999997E-2</v>
      </c>
      <c r="K44" s="2">
        <v>3.0599999999999999E-2</v>
      </c>
      <c r="L44" s="2">
        <v>4.7100000000000003E-2</v>
      </c>
      <c r="M44" s="2">
        <v>265.16390000000001</v>
      </c>
    </row>
    <row r="45" spans="2:13" x14ac:dyDescent="0.3">
      <c r="B45" s="2">
        <v>-1</v>
      </c>
      <c r="C45" s="2" t="s">
        <v>96</v>
      </c>
      <c r="D45" s="2" t="s">
        <v>22</v>
      </c>
      <c r="E45" s="2" t="s">
        <v>20</v>
      </c>
      <c r="F45" s="2" t="s">
        <v>21</v>
      </c>
      <c r="G45" s="2" t="s">
        <v>17</v>
      </c>
      <c r="H45" s="2">
        <v>13.680999999999999</v>
      </c>
      <c r="I45" s="2">
        <v>10.631</v>
      </c>
      <c r="J45" s="2">
        <v>6.0699999999999997E-2</v>
      </c>
      <c r="K45" s="2">
        <v>3.0599999999999999E-2</v>
      </c>
      <c r="L45" s="2">
        <v>0.1179</v>
      </c>
      <c r="M45" s="2">
        <v>241.40520000000001</v>
      </c>
    </row>
    <row r="46" spans="2:13" x14ac:dyDescent="0.3">
      <c r="B46" s="2">
        <v>-1</v>
      </c>
      <c r="C46" s="2" t="s">
        <v>96</v>
      </c>
      <c r="D46" s="2" t="s">
        <v>23</v>
      </c>
      <c r="E46" s="2" t="s">
        <v>24</v>
      </c>
      <c r="F46" s="2"/>
      <c r="G46" s="2" t="s">
        <v>16</v>
      </c>
      <c r="H46" s="2">
        <v>-563.32370000000003</v>
      </c>
      <c r="I46" s="2">
        <v>-8.5099999999999995E-2</v>
      </c>
      <c r="J46" s="2">
        <v>-0.47060000000000002</v>
      </c>
      <c r="K46" s="2">
        <v>-6.1400000000000003E-2</v>
      </c>
      <c r="L46" s="2">
        <v>0.85540000000000005</v>
      </c>
      <c r="M46" s="2">
        <v>-44.250599999999999</v>
      </c>
    </row>
    <row r="47" spans="2:13" x14ac:dyDescent="0.3">
      <c r="B47" s="2">
        <v>-1</v>
      </c>
      <c r="C47" s="2" t="s">
        <v>96</v>
      </c>
      <c r="D47" s="2" t="s">
        <v>23</v>
      </c>
      <c r="E47" s="2" t="s">
        <v>24</v>
      </c>
      <c r="F47" s="2"/>
      <c r="G47" s="2" t="s">
        <v>17</v>
      </c>
      <c r="H47" s="2">
        <v>-575.69970000000001</v>
      </c>
      <c r="I47" s="2">
        <v>-8.5099999999999995E-2</v>
      </c>
      <c r="J47" s="2">
        <v>-0.47060000000000002</v>
      </c>
      <c r="K47" s="2">
        <v>-6.1400000000000003E-2</v>
      </c>
      <c r="L47" s="2">
        <v>-0.36820000000000003</v>
      </c>
      <c r="M47" s="2">
        <v>-44.471800000000002</v>
      </c>
    </row>
    <row r="48" spans="2:13" x14ac:dyDescent="0.3">
      <c r="B48" s="2">
        <v>-1</v>
      </c>
      <c r="C48" s="2" t="s">
        <v>96</v>
      </c>
      <c r="D48" s="2" t="s">
        <v>25</v>
      </c>
      <c r="E48" s="2" t="s">
        <v>24</v>
      </c>
      <c r="F48" s="2"/>
      <c r="G48" s="2" t="s">
        <v>16</v>
      </c>
      <c r="H48" s="2">
        <v>-636.92160000000001</v>
      </c>
      <c r="I48" s="2">
        <v>-7.9093</v>
      </c>
      <c r="J48" s="2">
        <v>-0.75549999999999995</v>
      </c>
      <c r="K48" s="2">
        <v>-8.8999999999999999E-3</v>
      </c>
      <c r="L48" s="2">
        <v>1.3419000000000001</v>
      </c>
      <c r="M48" s="2">
        <v>-41.807699999999997</v>
      </c>
    </row>
    <row r="49" spans="2:13" x14ac:dyDescent="0.3">
      <c r="B49" s="2">
        <v>-1</v>
      </c>
      <c r="C49" s="2" t="s">
        <v>96</v>
      </c>
      <c r="D49" s="2" t="s">
        <v>25</v>
      </c>
      <c r="E49" s="2" t="s">
        <v>24</v>
      </c>
      <c r="F49" s="2"/>
      <c r="G49" s="2" t="s">
        <v>17</v>
      </c>
      <c r="H49" s="2">
        <v>-647.52959999999996</v>
      </c>
      <c r="I49" s="2">
        <v>-7.9093</v>
      </c>
      <c r="J49" s="2">
        <v>-0.75549999999999995</v>
      </c>
      <c r="K49" s="2">
        <v>-8.8999999999999999E-3</v>
      </c>
      <c r="L49" s="2">
        <v>-0.62239999999999995</v>
      </c>
      <c r="M49" s="2">
        <v>-62.371699999999997</v>
      </c>
    </row>
    <row r="50" spans="2:13" x14ac:dyDescent="0.3">
      <c r="B50" s="2">
        <v>-1</v>
      </c>
      <c r="C50" s="2" t="s">
        <v>96</v>
      </c>
      <c r="D50" s="2" t="s">
        <v>26</v>
      </c>
      <c r="E50" s="2" t="s">
        <v>24</v>
      </c>
      <c r="F50" s="2" t="s">
        <v>21</v>
      </c>
      <c r="G50" s="2" t="s">
        <v>16</v>
      </c>
      <c r="H50" s="2">
        <v>-184.69130000000001</v>
      </c>
      <c r="I50" s="2">
        <v>6.7737999999999996</v>
      </c>
      <c r="J50" s="2">
        <v>8.8099999999999998E-2</v>
      </c>
      <c r="K50" s="2">
        <v>0.26900000000000002</v>
      </c>
      <c r="L50" s="2">
        <v>2.0436000000000001</v>
      </c>
      <c r="M50" s="2">
        <v>30.590599999999998</v>
      </c>
    </row>
    <row r="51" spans="2:13" x14ac:dyDescent="0.3">
      <c r="B51" s="2">
        <v>-1</v>
      </c>
      <c r="C51" s="2" t="s">
        <v>96</v>
      </c>
      <c r="D51" s="2" t="s">
        <v>26</v>
      </c>
      <c r="E51" s="2" t="s">
        <v>24</v>
      </c>
      <c r="F51" s="2" t="s">
        <v>21</v>
      </c>
      <c r="G51" s="2" t="s">
        <v>17</v>
      </c>
      <c r="H51" s="2">
        <v>-192.6473</v>
      </c>
      <c r="I51" s="2">
        <v>6.7737999999999996</v>
      </c>
      <c r="J51" s="2">
        <v>8.8099999999999998E-2</v>
      </c>
      <c r="K51" s="2">
        <v>0.26900000000000002</v>
      </c>
      <c r="L51" s="2">
        <v>0.85460000000000003</v>
      </c>
      <c r="M51" s="2">
        <v>24.894500000000001</v>
      </c>
    </row>
    <row r="52" spans="2:13" x14ac:dyDescent="0.3">
      <c r="B52" s="2">
        <v>-1</v>
      </c>
      <c r="C52" s="2" t="s">
        <v>96</v>
      </c>
      <c r="D52" s="2" t="s">
        <v>26</v>
      </c>
      <c r="E52" s="2" t="s">
        <v>24</v>
      </c>
      <c r="F52" s="2" t="s">
        <v>27</v>
      </c>
      <c r="G52" s="2" t="s">
        <v>16</v>
      </c>
      <c r="H52" s="2">
        <v>-539.58199999999999</v>
      </c>
      <c r="I52" s="2">
        <v>-6.8833000000000002</v>
      </c>
      <c r="J52" s="2">
        <v>-0.69320000000000004</v>
      </c>
      <c r="K52" s="2">
        <v>-0.34799999999999998</v>
      </c>
      <c r="L52" s="2">
        <v>-0.94369999999999998</v>
      </c>
      <c r="M52" s="2">
        <v>-87.484200000000001</v>
      </c>
    </row>
    <row r="53" spans="2:13" x14ac:dyDescent="0.3">
      <c r="B53" s="2">
        <v>-1</v>
      </c>
      <c r="C53" s="2" t="s">
        <v>96</v>
      </c>
      <c r="D53" s="2" t="s">
        <v>26</v>
      </c>
      <c r="E53" s="2" t="s">
        <v>24</v>
      </c>
      <c r="F53" s="2" t="s">
        <v>27</v>
      </c>
      <c r="G53" s="2" t="s">
        <v>17</v>
      </c>
      <c r="H53" s="2">
        <v>-547.53800000000001</v>
      </c>
      <c r="I53" s="2">
        <v>-6.8833000000000002</v>
      </c>
      <c r="J53" s="2">
        <v>-0.69320000000000004</v>
      </c>
      <c r="K53" s="2">
        <v>-0.34799999999999998</v>
      </c>
      <c r="L53" s="2">
        <v>-1.3280000000000001</v>
      </c>
      <c r="M53" s="2">
        <v>-82.072500000000005</v>
      </c>
    </row>
    <row r="54" spans="2:13" x14ac:dyDescent="0.3">
      <c r="B54" s="2">
        <v>-1</v>
      </c>
      <c r="C54" s="2" t="s">
        <v>96</v>
      </c>
      <c r="D54" s="2" t="s">
        <v>28</v>
      </c>
      <c r="E54" s="2" t="s">
        <v>24</v>
      </c>
      <c r="F54" s="2" t="s">
        <v>21</v>
      </c>
      <c r="G54" s="2" t="s">
        <v>16</v>
      </c>
      <c r="H54" s="2">
        <v>-401.69900000000001</v>
      </c>
      <c r="I54" s="2">
        <v>1.8579000000000001</v>
      </c>
      <c r="J54" s="2">
        <v>-0.2329</v>
      </c>
      <c r="K54" s="2">
        <v>0.28320000000000001</v>
      </c>
      <c r="L54" s="2">
        <v>2.6073</v>
      </c>
      <c r="M54" s="2">
        <v>18.684200000000001</v>
      </c>
    </row>
    <row r="55" spans="2:13" x14ac:dyDescent="0.3">
      <c r="B55" s="2">
        <v>-1</v>
      </c>
      <c r="C55" s="2" t="s">
        <v>96</v>
      </c>
      <c r="D55" s="2" t="s">
        <v>28</v>
      </c>
      <c r="E55" s="2" t="s">
        <v>24</v>
      </c>
      <c r="F55" s="2" t="s">
        <v>21</v>
      </c>
      <c r="G55" s="2" t="s">
        <v>17</v>
      </c>
      <c r="H55" s="2">
        <v>-412.30700000000002</v>
      </c>
      <c r="I55" s="2">
        <v>1.8579000000000001</v>
      </c>
      <c r="J55" s="2">
        <v>-0.2329</v>
      </c>
      <c r="K55" s="2">
        <v>0.28320000000000001</v>
      </c>
      <c r="L55" s="2">
        <v>0.58389999999999997</v>
      </c>
      <c r="M55" s="2">
        <v>0.20660000000000001</v>
      </c>
    </row>
    <row r="56" spans="2:13" x14ac:dyDescent="0.3">
      <c r="B56" s="2">
        <v>-1</v>
      </c>
      <c r="C56" s="2" t="s">
        <v>96</v>
      </c>
      <c r="D56" s="2" t="s">
        <v>28</v>
      </c>
      <c r="E56" s="2" t="s">
        <v>24</v>
      </c>
      <c r="F56" s="2" t="s">
        <v>27</v>
      </c>
      <c r="G56" s="2" t="s">
        <v>16</v>
      </c>
      <c r="H56" s="2">
        <v>-756.58969999999999</v>
      </c>
      <c r="I56" s="2">
        <v>-11.799200000000001</v>
      </c>
      <c r="J56" s="2">
        <v>-1.0141</v>
      </c>
      <c r="K56" s="2">
        <v>-0.33379999999999999</v>
      </c>
      <c r="L56" s="2">
        <v>-0.38</v>
      </c>
      <c r="M56" s="2">
        <v>-99.390600000000006</v>
      </c>
    </row>
    <row r="57" spans="2:13" x14ac:dyDescent="0.3">
      <c r="B57" s="2">
        <v>-1</v>
      </c>
      <c r="C57" s="2" t="s">
        <v>96</v>
      </c>
      <c r="D57" s="2" t="s">
        <v>28</v>
      </c>
      <c r="E57" s="2" t="s">
        <v>24</v>
      </c>
      <c r="F57" s="2" t="s">
        <v>27</v>
      </c>
      <c r="G57" s="2" t="s">
        <v>17</v>
      </c>
      <c r="H57" s="2">
        <v>-767.19770000000005</v>
      </c>
      <c r="I57" s="2">
        <v>-11.799200000000001</v>
      </c>
      <c r="J57" s="2">
        <v>-1.0141</v>
      </c>
      <c r="K57" s="2">
        <v>-0.33379999999999999</v>
      </c>
      <c r="L57" s="2">
        <v>-1.5986</v>
      </c>
      <c r="M57" s="2">
        <v>-106.7603</v>
      </c>
    </row>
    <row r="58" spans="2:13" x14ac:dyDescent="0.3">
      <c r="B58" s="2">
        <v>-1</v>
      </c>
      <c r="C58" s="2" t="s">
        <v>96</v>
      </c>
      <c r="D58" s="2" t="s">
        <v>29</v>
      </c>
      <c r="E58" s="2" t="s">
        <v>24</v>
      </c>
      <c r="F58" s="2" t="s">
        <v>21</v>
      </c>
      <c r="G58" s="2" t="s">
        <v>16</v>
      </c>
      <c r="H58" s="2">
        <v>-559.99099999999999</v>
      </c>
      <c r="I58" s="2">
        <v>9.9128000000000007</v>
      </c>
      <c r="J58" s="2">
        <v>-0.53859999999999997</v>
      </c>
      <c r="K58" s="2">
        <v>1.7500000000000002E-2</v>
      </c>
      <c r="L58" s="2">
        <v>1.1795</v>
      </c>
      <c r="M58" s="2">
        <v>330.87630000000001</v>
      </c>
    </row>
    <row r="59" spans="2:13" x14ac:dyDescent="0.3">
      <c r="B59" s="2">
        <v>-1</v>
      </c>
      <c r="C59" s="2" t="s">
        <v>96</v>
      </c>
      <c r="D59" s="2" t="s">
        <v>29</v>
      </c>
      <c r="E59" s="2" t="s">
        <v>24</v>
      </c>
      <c r="F59" s="2" t="s">
        <v>21</v>
      </c>
      <c r="G59" s="2" t="s">
        <v>17</v>
      </c>
      <c r="H59" s="2">
        <v>-570.59900000000005</v>
      </c>
      <c r="I59" s="2">
        <v>9.9128000000000007</v>
      </c>
      <c r="J59" s="2">
        <v>-0.53859999999999997</v>
      </c>
      <c r="K59" s="2">
        <v>1.7500000000000002E-2</v>
      </c>
      <c r="L59" s="2">
        <v>-0.34229999999999999</v>
      </c>
      <c r="M59" s="2">
        <v>284.69049999999999</v>
      </c>
    </row>
    <row r="60" spans="2:13" x14ac:dyDescent="0.3">
      <c r="B60" s="2">
        <v>-1</v>
      </c>
      <c r="C60" s="2" t="s">
        <v>96</v>
      </c>
      <c r="D60" s="2" t="s">
        <v>29</v>
      </c>
      <c r="E60" s="2" t="s">
        <v>24</v>
      </c>
      <c r="F60" s="2" t="s">
        <v>27</v>
      </c>
      <c r="G60" s="2" t="s">
        <v>16</v>
      </c>
      <c r="H60" s="2">
        <v>-598.29769999999996</v>
      </c>
      <c r="I60" s="2">
        <v>-19.854099999999999</v>
      </c>
      <c r="J60" s="2">
        <v>-0.70840000000000003</v>
      </c>
      <c r="K60" s="2">
        <v>-6.8099999999999994E-2</v>
      </c>
      <c r="L60" s="2">
        <v>1.0478000000000001</v>
      </c>
      <c r="M60" s="2">
        <v>-411.58269999999999</v>
      </c>
    </row>
    <row r="61" spans="2:13" x14ac:dyDescent="0.3">
      <c r="B61" s="2">
        <v>-1</v>
      </c>
      <c r="C61" s="2" t="s">
        <v>96</v>
      </c>
      <c r="D61" s="2" t="s">
        <v>29</v>
      </c>
      <c r="E61" s="2" t="s">
        <v>24</v>
      </c>
      <c r="F61" s="2" t="s">
        <v>27</v>
      </c>
      <c r="G61" s="2" t="s">
        <v>17</v>
      </c>
      <c r="H61" s="2">
        <v>-608.90570000000002</v>
      </c>
      <c r="I61" s="2">
        <v>-19.854099999999999</v>
      </c>
      <c r="J61" s="2">
        <v>-0.70840000000000003</v>
      </c>
      <c r="K61" s="2">
        <v>-6.8099999999999994E-2</v>
      </c>
      <c r="L61" s="2">
        <v>-0.67249999999999999</v>
      </c>
      <c r="M61" s="2">
        <v>-391.24419999999998</v>
      </c>
    </row>
    <row r="62" spans="2:13" x14ac:dyDescent="0.3">
      <c r="B62" s="2">
        <v>-1</v>
      </c>
      <c r="C62" s="2" t="s">
        <v>96</v>
      </c>
      <c r="D62" s="2" t="s">
        <v>30</v>
      </c>
      <c r="E62" s="2" t="s">
        <v>24</v>
      </c>
      <c r="F62" s="2" t="s">
        <v>21</v>
      </c>
      <c r="G62" s="2" t="s">
        <v>16</v>
      </c>
      <c r="H62" s="2">
        <v>-184.69130000000001</v>
      </c>
      <c r="I62" s="2">
        <v>14.8287</v>
      </c>
      <c r="J62" s="2">
        <v>8.8099999999999998E-2</v>
      </c>
      <c r="K62" s="2">
        <v>0.28320000000000001</v>
      </c>
      <c r="L62" s="2">
        <v>2.6073</v>
      </c>
      <c r="M62" s="2">
        <v>342.78269999999998</v>
      </c>
    </row>
    <row r="63" spans="2:13" x14ac:dyDescent="0.3">
      <c r="B63" s="2">
        <v>-1</v>
      </c>
      <c r="C63" s="2" t="s">
        <v>96</v>
      </c>
      <c r="D63" s="2" t="s">
        <v>30</v>
      </c>
      <c r="E63" s="2" t="s">
        <v>24</v>
      </c>
      <c r="F63" s="2" t="s">
        <v>21</v>
      </c>
      <c r="G63" s="2" t="s">
        <v>17</v>
      </c>
      <c r="H63" s="2">
        <v>-192.6473</v>
      </c>
      <c r="I63" s="2">
        <v>14.8287</v>
      </c>
      <c r="J63" s="2">
        <v>8.8099999999999998E-2</v>
      </c>
      <c r="K63" s="2">
        <v>0.28320000000000001</v>
      </c>
      <c r="L63" s="2">
        <v>0.85460000000000003</v>
      </c>
      <c r="M63" s="2">
        <v>309.37830000000002</v>
      </c>
    </row>
    <row r="64" spans="2:13" x14ac:dyDescent="0.3">
      <c r="B64" s="2">
        <v>-1</v>
      </c>
      <c r="C64" s="2" t="s">
        <v>96</v>
      </c>
      <c r="D64" s="2" t="s">
        <v>30</v>
      </c>
      <c r="E64" s="2" t="s">
        <v>24</v>
      </c>
      <c r="F64" s="2" t="s">
        <v>27</v>
      </c>
      <c r="G64" s="2" t="s">
        <v>16</v>
      </c>
      <c r="H64" s="2">
        <v>-756.58969999999999</v>
      </c>
      <c r="I64" s="2">
        <v>-19.854099999999999</v>
      </c>
      <c r="J64" s="2">
        <v>-1.0141</v>
      </c>
      <c r="K64" s="2">
        <v>-0.34799999999999998</v>
      </c>
      <c r="L64" s="2">
        <v>-0.94369999999999998</v>
      </c>
      <c r="M64" s="2">
        <v>-411.58269999999999</v>
      </c>
    </row>
    <row r="65" spans="2:13" x14ac:dyDescent="0.3">
      <c r="B65" s="2">
        <v>-1</v>
      </c>
      <c r="C65" s="2" t="s">
        <v>96</v>
      </c>
      <c r="D65" s="2" t="s">
        <v>30</v>
      </c>
      <c r="E65" s="2" t="s">
        <v>24</v>
      </c>
      <c r="F65" s="2" t="s">
        <v>27</v>
      </c>
      <c r="G65" s="2" t="s">
        <v>17</v>
      </c>
      <c r="H65" s="2">
        <v>-767.19770000000005</v>
      </c>
      <c r="I65" s="2">
        <v>-19.854099999999999</v>
      </c>
      <c r="J65" s="2">
        <v>-1.0141</v>
      </c>
      <c r="K65" s="2">
        <v>-0.34799999999999998</v>
      </c>
      <c r="L65" s="2">
        <v>-1.5986</v>
      </c>
      <c r="M65" s="2">
        <v>-391.24419999999998</v>
      </c>
    </row>
    <row r="66" spans="2:13" x14ac:dyDescent="0.3">
      <c r="B66" s="2">
        <v>-1</v>
      </c>
      <c r="C66" s="2" t="s">
        <v>96</v>
      </c>
      <c r="D66" s="2" t="s">
        <v>31</v>
      </c>
      <c r="E66" s="2" t="s">
        <v>24</v>
      </c>
      <c r="F66" s="2" t="s">
        <v>21</v>
      </c>
      <c r="G66" s="2" t="s">
        <v>16</v>
      </c>
      <c r="H66" s="2">
        <v>-342.98329999999999</v>
      </c>
      <c r="I66" s="2">
        <v>14.8287</v>
      </c>
      <c r="J66" s="2">
        <v>-0.21759999999999999</v>
      </c>
      <c r="K66" s="2">
        <v>3.3E-3</v>
      </c>
      <c r="L66" s="2">
        <v>0.61580000000000001</v>
      </c>
      <c r="M66" s="2">
        <v>342.78269999999998</v>
      </c>
    </row>
    <row r="67" spans="2:13" x14ac:dyDescent="0.3">
      <c r="B67" s="2">
        <v>-1</v>
      </c>
      <c r="C67" s="2" t="s">
        <v>96</v>
      </c>
      <c r="D67" s="2" t="s">
        <v>31</v>
      </c>
      <c r="E67" s="2" t="s">
        <v>24</v>
      </c>
      <c r="F67" s="2" t="s">
        <v>21</v>
      </c>
      <c r="G67" s="2" t="s">
        <v>17</v>
      </c>
      <c r="H67" s="2">
        <v>-350.9393</v>
      </c>
      <c r="I67" s="2">
        <v>14.8287</v>
      </c>
      <c r="J67" s="2">
        <v>-0.21759999999999999</v>
      </c>
      <c r="K67" s="2">
        <v>3.3E-3</v>
      </c>
      <c r="L67" s="2">
        <v>-7.1599999999999997E-2</v>
      </c>
      <c r="M67" s="2">
        <v>309.37830000000002</v>
      </c>
    </row>
    <row r="68" spans="2:13" x14ac:dyDescent="0.3">
      <c r="B68" s="2">
        <v>-1</v>
      </c>
      <c r="C68" s="2" t="s">
        <v>96</v>
      </c>
      <c r="D68" s="2" t="s">
        <v>31</v>
      </c>
      <c r="E68" s="2" t="s">
        <v>24</v>
      </c>
      <c r="F68" s="2" t="s">
        <v>27</v>
      </c>
      <c r="G68" s="2" t="s">
        <v>16</v>
      </c>
      <c r="H68" s="2">
        <v>-381.29</v>
      </c>
      <c r="I68" s="2">
        <v>-14.9382</v>
      </c>
      <c r="J68" s="2">
        <v>-0.38750000000000001</v>
      </c>
      <c r="K68" s="2">
        <v>-8.2299999999999998E-2</v>
      </c>
      <c r="L68" s="2">
        <v>0.48399999999999999</v>
      </c>
      <c r="M68" s="2">
        <v>-399.67630000000003</v>
      </c>
    </row>
    <row r="69" spans="2:13" x14ac:dyDescent="0.3">
      <c r="B69" s="2">
        <v>-1</v>
      </c>
      <c r="C69" s="2" t="s">
        <v>96</v>
      </c>
      <c r="D69" s="2" t="s">
        <v>31</v>
      </c>
      <c r="E69" s="2" t="s">
        <v>24</v>
      </c>
      <c r="F69" s="2" t="s">
        <v>27</v>
      </c>
      <c r="G69" s="2" t="s">
        <v>17</v>
      </c>
      <c r="H69" s="2">
        <v>-389.24599999999998</v>
      </c>
      <c r="I69" s="2">
        <v>-14.9382</v>
      </c>
      <c r="J69" s="2">
        <v>-0.38750000000000001</v>
      </c>
      <c r="K69" s="2">
        <v>-8.2299999999999998E-2</v>
      </c>
      <c r="L69" s="2">
        <v>-0.40179999999999999</v>
      </c>
      <c r="M69" s="2">
        <v>-366.5564</v>
      </c>
    </row>
    <row r="70" spans="2:13" x14ac:dyDescent="0.3">
      <c r="B70" s="2">
        <v>-1</v>
      </c>
      <c r="C70" s="2" t="s">
        <v>96</v>
      </c>
      <c r="D70" s="2" t="s">
        <v>32</v>
      </c>
      <c r="E70" s="2" t="s">
        <v>24</v>
      </c>
      <c r="F70" s="2"/>
      <c r="G70" s="2" t="s">
        <v>16</v>
      </c>
      <c r="H70" s="2">
        <v>-498.66950000000003</v>
      </c>
      <c r="I70" s="2">
        <v>-4.9584999999999999</v>
      </c>
      <c r="J70" s="2">
        <v>-0.55620000000000003</v>
      </c>
      <c r="K70" s="2">
        <v>-1.6500000000000001E-2</v>
      </c>
      <c r="L70" s="2">
        <v>0.99150000000000005</v>
      </c>
      <c r="M70" s="2">
        <v>-34.031700000000001</v>
      </c>
    </row>
    <row r="71" spans="2:13" x14ac:dyDescent="0.3">
      <c r="B71" s="2">
        <v>-1</v>
      </c>
      <c r="C71" s="2" t="s">
        <v>96</v>
      </c>
      <c r="D71" s="2" t="s">
        <v>32</v>
      </c>
      <c r="E71" s="2" t="s">
        <v>24</v>
      </c>
      <c r="F71" s="2"/>
      <c r="G71" s="2" t="s">
        <v>17</v>
      </c>
      <c r="H71" s="2">
        <v>-507.5095</v>
      </c>
      <c r="I71" s="2">
        <v>-4.9584999999999999</v>
      </c>
      <c r="J71" s="2">
        <v>-0.55620000000000003</v>
      </c>
      <c r="K71" s="2">
        <v>-1.6500000000000001E-2</v>
      </c>
      <c r="L71" s="2">
        <v>-0.45479999999999998</v>
      </c>
      <c r="M71" s="2">
        <v>-46.923699999999997</v>
      </c>
    </row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2209-5264-420D-B522-3A3532FDBDD6}">
  <dimension ref="B2:Z462"/>
  <sheetViews>
    <sheetView workbookViewId="0">
      <selection activeCell="R6" sqref="R6"/>
    </sheetView>
  </sheetViews>
  <sheetFormatPr baseColWidth="10" defaultRowHeight="14.4" x14ac:dyDescent="0.3"/>
  <sheetData>
    <row r="2" spans="2:26" ht="14.4" customHeight="1" x14ac:dyDescent="0.35">
      <c r="B2" s="24" t="s">
        <v>33</v>
      </c>
      <c r="C2" s="24" t="s">
        <v>101</v>
      </c>
      <c r="D2" s="24" t="s">
        <v>102</v>
      </c>
      <c r="E2" s="24" t="s">
        <v>1</v>
      </c>
      <c r="F2" s="24" t="s">
        <v>2</v>
      </c>
      <c r="G2" s="24" t="s">
        <v>3</v>
      </c>
      <c r="H2" s="1" t="s">
        <v>103</v>
      </c>
      <c r="I2" s="1" t="s">
        <v>5</v>
      </c>
      <c r="J2" s="1" t="s">
        <v>7</v>
      </c>
      <c r="K2" s="1" t="s">
        <v>8</v>
      </c>
      <c r="L2" s="1" t="s">
        <v>9</v>
      </c>
      <c r="M2" s="1" t="s">
        <v>11</v>
      </c>
      <c r="N2" s="1" t="s">
        <v>12</v>
      </c>
      <c r="O2" s="24" t="s">
        <v>105</v>
      </c>
      <c r="P2" s="1" t="s">
        <v>106</v>
      </c>
      <c r="Q2" s="24" t="s">
        <v>4</v>
      </c>
      <c r="S2" s="12" t="s">
        <v>124</v>
      </c>
    </row>
    <row r="3" spans="2:26" x14ac:dyDescent="0.3">
      <c r="B3" s="24"/>
      <c r="C3" s="24"/>
      <c r="D3" s="24"/>
      <c r="E3" s="24"/>
      <c r="F3" s="24"/>
      <c r="G3" s="24"/>
      <c r="H3" s="1" t="s">
        <v>104</v>
      </c>
      <c r="I3" s="1" t="s">
        <v>6</v>
      </c>
      <c r="J3" s="1" t="s">
        <v>6</v>
      </c>
      <c r="K3" s="1" t="s">
        <v>6</v>
      </c>
      <c r="L3" s="1" t="s">
        <v>10</v>
      </c>
      <c r="M3" s="1" t="s">
        <v>10</v>
      </c>
      <c r="N3" s="1" t="s">
        <v>10</v>
      </c>
      <c r="O3" s="24"/>
      <c r="P3" s="1" t="s">
        <v>104</v>
      </c>
      <c r="Q3" s="24"/>
      <c r="S3" s="25" t="s">
        <v>101</v>
      </c>
      <c r="T3" s="25" t="s">
        <v>1</v>
      </c>
      <c r="U3" s="25" t="s">
        <v>54</v>
      </c>
      <c r="V3" s="25" t="s">
        <v>55</v>
      </c>
      <c r="W3" s="25" t="s">
        <v>56</v>
      </c>
      <c r="X3" s="25" t="s">
        <v>57</v>
      </c>
      <c r="Y3" s="25" t="s">
        <v>58</v>
      </c>
      <c r="Z3" s="25" t="s">
        <v>59</v>
      </c>
    </row>
    <row r="4" spans="2:26" x14ac:dyDescent="0.3">
      <c r="B4" s="2">
        <v>-1</v>
      </c>
      <c r="C4" s="2" t="s">
        <v>23</v>
      </c>
      <c r="D4" s="2">
        <v>3</v>
      </c>
      <c r="E4" s="2" t="s">
        <v>14</v>
      </c>
      <c r="F4" s="2" t="s">
        <v>15</v>
      </c>
      <c r="G4" s="2"/>
      <c r="H4" s="2">
        <v>0</v>
      </c>
      <c r="I4" s="2">
        <v>-21.003900000000002</v>
      </c>
      <c r="J4" s="2">
        <v>0.22009999999999999</v>
      </c>
      <c r="K4" s="2">
        <v>-2.5000000000000001E-3</v>
      </c>
      <c r="L4" s="2">
        <v>2.9999999999999997E-4</v>
      </c>
      <c r="M4" s="2">
        <v>-1.34E-2</v>
      </c>
      <c r="N4" s="2">
        <v>0.1512</v>
      </c>
      <c r="O4" s="2">
        <v>3</v>
      </c>
      <c r="P4" s="2">
        <v>0</v>
      </c>
      <c r="Q4" s="2"/>
      <c r="U4" s="26" t="s">
        <v>6</v>
      </c>
      <c r="V4" s="26" t="s">
        <v>6</v>
      </c>
      <c r="W4" s="26" t="s">
        <v>10</v>
      </c>
      <c r="X4" s="26" t="s">
        <v>10</v>
      </c>
      <c r="Y4" s="26" t="s">
        <v>6</v>
      </c>
      <c r="Z4" s="26" t="s">
        <v>6</v>
      </c>
    </row>
    <row r="5" spans="2:26" x14ac:dyDescent="0.3">
      <c r="B5" s="2">
        <v>-1</v>
      </c>
      <c r="C5" s="2" t="s">
        <v>23</v>
      </c>
      <c r="D5" s="2">
        <v>3</v>
      </c>
      <c r="E5" s="2" t="s">
        <v>14</v>
      </c>
      <c r="F5" s="2" t="s">
        <v>15</v>
      </c>
      <c r="G5" s="2"/>
      <c r="H5" s="2">
        <v>1.3</v>
      </c>
      <c r="I5" s="2">
        <v>-20.516400000000001</v>
      </c>
      <c r="J5" s="2">
        <v>0.22009999999999999</v>
      </c>
      <c r="K5" s="2">
        <v>-2.5000000000000001E-3</v>
      </c>
      <c r="L5" s="2">
        <v>2.9999999999999997E-4</v>
      </c>
      <c r="M5" s="2">
        <v>-1.0200000000000001E-2</v>
      </c>
      <c r="N5" s="2">
        <v>-0.13489999999999999</v>
      </c>
      <c r="O5" s="2">
        <v>3</v>
      </c>
      <c r="P5" s="2">
        <v>1.3</v>
      </c>
      <c r="Q5" s="2"/>
      <c r="S5" s="17" t="s">
        <v>23</v>
      </c>
      <c r="T5" s="17" t="s">
        <v>14</v>
      </c>
      <c r="U5" s="27">
        <f>_xlfn.MAXIFS($J$4:$J$462,$C$4:$C$462,$S5,$E$4:$E$462,$T5)</f>
        <v>0.22009999999999999</v>
      </c>
      <c r="V5" s="27">
        <f>_xlfn.MINIFS($J$4:$J$462,$C$4:$C$462,$S5,$E$4:$E$462,$T5)</f>
        <v>0.22009999999999999</v>
      </c>
      <c r="W5" s="27">
        <f>_xlfn.MAXIFS($N$4:$N$462,$C$4:$C$462,$S5,$E$4:$E$462,$T5)</f>
        <v>0.1512</v>
      </c>
      <c r="X5" s="27">
        <f>_xlfn.MINIFS($N$4:$N$462,$C$4:$C$462,$S5,$E$4:$E$462,$T5)</f>
        <v>-0.42099999999999999</v>
      </c>
      <c r="Y5" s="27">
        <f>_xlfn.MAXIFS($I$4:$I$462,$C$4:$C$462,$S5,$E$4:$E$462,$T5)</f>
        <v>-20.0289</v>
      </c>
      <c r="Z5" s="27">
        <f>_xlfn.MINIFS($I$4:$I$462,$C$4:$C$462,$S5,$E$4:$E$462,$T5)</f>
        <v>-21.003900000000002</v>
      </c>
    </row>
    <row r="6" spans="2:26" x14ac:dyDescent="0.3">
      <c r="B6" s="2">
        <v>-1</v>
      </c>
      <c r="C6" s="2" t="s">
        <v>23</v>
      </c>
      <c r="D6" s="2">
        <v>3</v>
      </c>
      <c r="E6" s="2" t="s">
        <v>14</v>
      </c>
      <c r="F6" s="2" t="s">
        <v>15</v>
      </c>
      <c r="G6" s="2"/>
      <c r="H6" s="2">
        <v>2.6</v>
      </c>
      <c r="I6" s="2">
        <v>-20.0289</v>
      </c>
      <c r="J6" s="2">
        <v>0.22009999999999999</v>
      </c>
      <c r="K6" s="2">
        <v>-2.5000000000000001E-3</v>
      </c>
      <c r="L6" s="2">
        <v>2.9999999999999997E-4</v>
      </c>
      <c r="M6" s="2">
        <v>-7.0000000000000001E-3</v>
      </c>
      <c r="N6" s="2">
        <v>-0.42099999999999999</v>
      </c>
      <c r="O6" s="2">
        <v>3</v>
      </c>
      <c r="P6" s="2">
        <v>2.6</v>
      </c>
      <c r="Q6" s="2"/>
      <c r="S6" s="17" t="s">
        <v>23</v>
      </c>
      <c r="T6" s="17" t="s">
        <v>18</v>
      </c>
      <c r="U6" s="27">
        <f>_xlfn.MAXIFS($J$4:$J$462,$C$4:$C$462,$S6,$E$4:$E$462,$T6)</f>
        <v>0.2006</v>
      </c>
      <c r="V6" s="27">
        <f>_xlfn.MINIFS($J$4:$J$462,$C$4:$C$462,$S6,$E$4:$E$462,$T6)</f>
        <v>0.2006</v>
      </c>
      <c r="W6" s="27">
        <f>_xlfn.MAXIFS($N$4:$N$462,$C$4:$C$462,$S6,$E$4:$E$462,$T6)</f>
        <v>0.13539999999999999</v>
      </c>
      <c r="X6" s="27">
        <f>_xlfn.MINIFS($N$4:$N$462,$C$4:$C$462,$S6,$E$4:$E$462,$T6)</f>
        <v>-0.38619999999999999</v>
      </c>
      <c r="Y6" s="27">
        <f>_xlfn.MAXIFS($I$4:$I$462,$C$4:$C$462,$S6,$E$4:$E$462,$T6)</f>
        <v>-17.1816</v>
      </c>
      <c r="Z6" s="27">
        <f>_xlfn.MINIFS($I$4:$I$462,$C$4:$C$462,$S6,$E$4:$E$462,$T6)</f>
        <v>-17.1816</v>
      </c>
    </row>
    <row r="7" spans="2:26" x14ac:dyDescent="0.3">
      <c r="B7" s="2">
        <v>-1</v>
      </c>
      <c r="C7" s="2" t="s">
        <v>23</v>
      </c>
      <c r="D7" s="2">
        <v>3</v>
      </c>
      <c r="E7" s="2" t="s">
        <v>18</v>
      </c>
      <c r="F7" s="2" t="s">
        <v>15</v>
      </c>
      <c r="G7" s="2"/>
      <c r="H7" s="2">
        <v>0</v>
      </c>
      <c r="I7" s="2">
        <v>-17.1816</v>
      </c>
      <c r="J7" s="2">
        <v>0.2006</v>
      </c>
      <c r="K7" s="2">
        <v>-5.4000000000000003E-3</v>
      </c>
      <c r="L7" s="2">
        <v>5.0000000000000001E-4</v>
      </c>
      <c r="M7" s="2">
        <v>-1.6199999999999999E-2</v>
      </c>
      <c r="N7" s="2">
        <v>0.13539999999999999</v>
      </c>
      <c r="O7" s="2">
        <v>3</v>
      </c>
      <c r="P7" s="2">
        <v>0</v>
      </c>
      <c r="Q7" s="2"/>
      <c r="S7" s="17" t="s">
        <v>23</v>
      </c>
      <c r="T7" s="17" t="s">
        <v>19</v>
      </c>
      <c r="U7" s="27">
        <f>_xlfn.MAXIFS($J$4:$J$462,$C$4:$C$462,$S7,$E$4:$E$462,$T7)</f>
        <v>0.29659999999999997</v>
      </c>
      <c r="V7" s="27">
        <f>_xlfn.MINIFS($J$4:$J$462,$C$4:$C$462,$S7,$E$4:$E$462,$T7)</f>
        <v>0.29659999999999997</v>
      </c>
      <c r="W7" s="27">
        <f>_xlfn.MAXIFS($N$4:$N$462,$C$4:$C$462,$S7,$E$4:$E$462,$T7)</f>
        <v>0.43930000000000002</v>
      </c>
      <c r="X7" s="27">
        <f>_xlfn.MINIFS($N$4:$N$462,$C$4:$C$462,$S7,$E$4:$E$462,$T7)</f>
        <v>5.4399999999999997E-2</v>
      </c>
      <c r="Y7" s="27">
        <f>_xlfn.MAXIFS($I$4:$I$462,$C$4:$C$462,$S7,$E$4:$E$462,$T7)</f>
        <v>6.93E-2</v>
      </c>
      <c r="Z7" s="27">
        <f>_xlfn.MINIFS($I$4:$I$462,$C$4:$C$462,$S7,$E$4:$E$462,$T7)</f>
        <v>6.93E-2</v>
      </c>
    </row>
    <row r="8" spans="2:26" x14ac:dyDescent="0.3">
      <c r="B8" s="2">
        <v>-1</v>
      </c>
      <c r="C8" s="2" t="s">
        <v>23</v>
      </c>
      <c r="D8" s="2">
        <v>3</v>
      </c>
      <c r="E8" s="2" t="s">
        <v>18</v>
      </c>
      <c r="F8" s="2" t="s">
        <v>15</v>
      </c>
      <c r="G8" s="2"/>
      <c r="H8" s="2">
        <v>1.3</v>
      </c>
      <c r="I8" s="2">
        <v>-17.1816</v>
      </c>
      <c r="J8" s="2">
        <v>0.2006</v>
      </c>
      <c r="K8" s="2">
        <v>-5.4000000000000003E-3</v>
      </c>
      <c r="L8" s="2">
        <v>5.0000000000000001E-4</v>
      </c>
      <c r="M8" s="2">
        <v>-9.1999999999999998E-3</v>
      </c>
      <c r="N8" s="2">
        <v>-0.12540000000000001</v>
      </c>
      <c r="O8" s="2">
        <v>3</v>
      </c>
      <c r="P8" s="2">
        <v>1.3</v>
      </c>
      <c r="Q8" s="2"/>
      <c r="S8" s="17" t="s">
        <v>23</v>
      </c>
      <c r="T8" s="17" t="s">
        <v>22</v>
      </c>
      <c r="U8" s="27">
        <f>_xlfn.MAXIFS($J$4:$J$462,$C$4:$C$462,$S8,$E$4:$E$462,$T8)</f>
        <v>7.5899999999999995E-2</v>
      </c>
      <c r="V8" s="27">
        <f>_xlfn.MINIFS($J$4:$J$462,$C$4:$C$462,$S8,$E$4:$E$462,$T8)</f>
        <v>7.5899999999999995E-2</v>
      </c>
      <c r="W8" s="27">
        <f>_xlfn.MAXIFS($N$4:$N$462,$C$4:$C$462,$S8,$E$4:$E$462,$T8)</f>
        <v>0.12139999999999999</v>
      </c>
      <c r="X8" s="27">
        <f>_xlfn.MINIFS($N$4:$N$462,$C$4:$C$462,$S8,$E$4:$E$462,$T8)</f>
        <v>3.7400000000000003E-2</v>
      </c>
      <c r="Y8" s="27">
        <f>_xlfn.MAXIFS($I$4:$I$462,$C$4:$C$462,$S8,$E$4:$E$462,$T8)</f>
        <v>0.1076</v>
      </c>
      <c r="Z8" s="27">
        <f>_xlfn.MINIFS($I$4:$I$462,$C$4:$C$462,$S8,$E$4:$E$462,$T8)</f>
        <v>0.1076</v>
      </c>
    </row>
    <row r="9" spans="2:26" x14ac:dyDescent="0.3">
      <c r="B9" s="2">
        <v>-1</v>
      </c>
      <c r="C9" s="2" t="s">
        <v>23</v>
      </c>
      <c r="D9" s="2">
        <v>3</v>
      </c>
      <c r="E9" s="2" t="s">
        <v>18</v>
      </c>
      <c r="F9" s="2" t="s">
        <v>15</v>
      </c>
      <c r="G9" s="2"/>
      <c r="H9" s="2">
        <v>2.6</v>
      </c>
      <c r="I9" s="2">
        <v>-17.1816</v>
      </c>
      <c r="J9" s="2">
        <v>0.2006</v>
      </c>
      <c r="K9" s="2">
        <v>-5.4000000000000003E-3</v>
      </c>
      <c r="L9" s="2">
        <v>5.0000000000000001E-4</v>
      </c>
      <c r="M9" s="2">
        <v>-2.0999999999999999E-3</v>
      </c>
      <c r="N9" s="2">
        <v>-0.38619999999999999</v>
      </c>
      <c r="O9" s="2">
        <v>3</v>
      </c>
      <c r="P9" s="2">
        <v>2.6</v>
      </c>
      <c r="Q9" s="2"/>
      <c r="S9" s="17" t="s">
        <v>25</v>
      </c>
      <c r="T9" s="17" t="s">
        <v>14</v>
      </c>
      <c r="U9" s="27">
        <f>_xlfn.MAXIFS($J$4:$J$462,$C$4:$C$462,$S9,$E$4:$E$462,$T9)</f>
        <v>0.68810000000000004</v>
      </c>
      <c r="V9" s="27">
        <f>_xlfn.MINIFS($J$4:$J$462,$C$4:$C$462,$S9,$E$4:$E$462,$T9)</f>
        <v>0.68810000000000004</v>
      </c>
      <c r="W9" s="27">
        <f>_xlfn.MAXIFS($N$4:$N$462,$C$4:$C$462,$S9,$E$4:$E$462,$T9)</f>
        <v>0.53849999999999998</v>
      </c>
      <c r="X9" s="27">
        <f>_xlfn.MINIFS($N$4:$N$462,$C$4:$C$462,$S9,$E$4:$E$462,$T9)</f>
        <v>-1.2505999999999999</v>
      </c>
      <c r="Y9" s="27">
        <f>_xlfn.MAXIFS($I$4:$I$462,$C$4:$C$462,$S9,$E$4:$E$462,$T9)</f>
        <v>-19.470500000000001</v>
      </c>
      <c r="Z9" s="27">
        <f>_xlfn.MINIFS($I$4:$I$462,$C$4:$C$462,$S9,$E$4:$E$462,$T9)</f>
        <v>-20.445499999999999</v>
      </c>
    </row>
    <row r="10" spans="2:26" x14ac:dyDescent="0.3">
      <c r="B10" s="2">
        <v>-1</v>
      </c>
      <c r="C10" s="2" t="s">
        <v>23</v>
      </c>
      <c r="D10" s="2">
        <v>3</v>
      </c>
      <c r="E10" s="2" t="s">
        <v>19</v>
      </c>
      <c r="F10" s="2" t="s">
        <v>20</v>
      </c>
      <c r="G10" s="2" t="s">
        <v>21</v>
      </c>
      <c r="H10" s="2">
        <v>0</v>
      </c>
      <c r="I10" s="2">
        <v>6.93E-2</v>
      </c>
      <c r="J10" s="2">
        <v>0.29659999999999997</v>
      </c>
      <c r="K10" s="2">
        <v>5.8299999999999998E-2</v>
      </c>
      <c r="L10" s="2">
        <v>3.3E-3</v>
      </c>
      <c r="M10" s="2">
        <v>7.3800000000000004E-2</v>
      </c>
      <c r="N10" s="2">
        <v>0.43930000000000002</v>
      </c>
      <c r="O10" s="2">
        <v>3</v>
      </c>
      <c r="P10" s="2">
        <v>0</v>
      </c>
      <c r="Q10" s="2"/>
      <c r="S10" s="17" t="s">
        <v>25</v>
      </c>
      <c r="T10" s="17" t="s">
        <v>18</v>
      </c>
      <c r="U10" s="27">
        <f>_xlfn.MAXIFS($J$4:$J$462,$C$4:$C$462,$S10,$E$4:$E$462,$T10)</f>
        <v>0.64270000000000005</v>
      </c>
      <c r="V10" s="27">
        <f>_xlfn.MINIFS($J$4:$J$462,$C$4:$C$462,$S10,$E$4:$E$462,$T10)</f>
        <v>0.64270000000000005</v>
      </c>
      <c r="W10" s="27">
        <f>_xlfn.MAXIFS($N$4:$N$462,$C$4:$C$462,$S10,$E$4:$E$462,$T10)</f>
        <v>0.50370000000000004</v>
      </c>
      <c r="X10" s="27">
        <f>_xlfn.MINIFS($N$4:$N$462,$C$4:$C$462,$S10,$E$4:$E$462,$T10)</f>
        <v>-1.1673</v>
      </c>
      <c r="Y10" s="27">
        <f>_xlfn.MAXIFS($I$4:$I$462,$C$4:$C$462,$S10,$E$4:$E$462,$T10)</f>
        <v>-16.700700000000001</v>
      </c>
      <c r="Z10" s="27">
        <f>_xlfn.MINIFS($I$4:$I$462,$C$4:$C$462,$S10,$E$4:$E$462,$T10)</f>
        <v>-16.700700000000001</v>
      </c>
    </row>
    <row r="11" spans="2:26" x14ac:dyDescent="0.3">
      <c r="B11" s="2">
        <v>-1</v>
      </c>
      <c r="C11" s="2" t="s">
        <v>23</v>
      </c>
      <c r="D11" s="2">
        <v>3</v>
      </c>
      <c r="E11" s="2" t="s">
        <v>19</v>
      </c>
      <c r="F11" s="2" t="s">
        <v>20</v>
      </c>
      <c r="G11" s="2" t="s">
        <v>21</v>
      </c>
      <c r="H11" s="2">
        <v>1.3</v>
      </c>
      <c r="I11" s="2">
        <v>6.93E-2</v>
      </c>
      <c r="J11" s="2">
        <v>0.29659999999999997</v>
      </c>
      <c r="K11" s="2">
        <v>5.8299999999999998E-2</v>
      </c>
      <c r="L11" s="2">
        <v>3.3E-3</v>
      </c>
      <c r="M11" s="2">
        <v>5.7000000000000002E-3</v>
      </c>
      <c r="N11" s="2">
        <v>5.4399999999999997E-2</v>
      </c>
      <c r="O11" s="2">
        <v>3</v>
      </c>
      <c r="P11" s="2">
        <v>1.3</v>
      </c>
      <c r="Q11" s="2"/>
      <c r="S11" s="17" t="s">
        <v>25</v>
      </c>
      <c r="T11" s="17" t="s">
        <v>19</v>
      </c>
      <c r="U11" s="27">
        <f>_xlfn.MAXIFS($J$4:$J$462,$C$4:$C$462,$S11,$E$4:$E$462,$T11)</f>
        <v>0.33639999999999998</v>
      </c>
      <c r="V11" s="27">
        <f>_xlfn.MINIFS($J$4:$J$462,$C$4:$C$462,$S11,$E$4:$E$462,$T11)</f>
        <v>0.33639999999999998</v>
      </c>
      <c r="W11" s="27">
        <f>_xlfn.MAXIFS($N$4:$N$462,$C$4:$C$462,$S11,$E$4:$E$462,$T11)</f>
        <v>0.49859999999999999</v>
      </c>
      <c r="X11" s="27">
        <f>_xlfn.MINIFS($N$4:$N$462,$C$4:$C$462,$S11,$E$4:$E$462,$T11)</f>
        <v>6.3E-2</v>
      </c>
      <c r="Y11" s="27">
        <f>_xlfn.MAXIFS($I$4:$I$462,$C$4:$C$462,$S11,$E$4:$E$462,$T11)</f>
        <v>0.1062</v>
      </c>
      <c r="Z11" s="27">
        <f>_xlfn.MINIFS($I$4:$I$462,$C$4:$C$462,$S11,$E$4:$E$462,$T11)</f>
        <v>0.1062</v>
      </c>
    </row>
    <row r="12" spans="2:26" x14ac:dyDescent="0.3">
      <c r="B12" s="2">
        <v>-1</v>
      </c>
      <c r="C12" s="2" t="s">
        <v>23</v>
      </c>
      <c r="D12" s="2">
        <v>3</v>
      </c>
      <c r="E12" s="2" t="s">
        <v>19</v>
      </c>
      <c r="F12" s="2" t="s">
        <v>20</v>
      </c>
      <c r="G12" s="2" t="s">
        <v>21</v>
      </c>
      <c r="H12" s="2">
        <v>2.6</v>
      </c>
      <c r="I12" s="2">
        <v>6.93E-2</v>
      </c>
      <c r="J12" s="2">
        <v>0.29659999999999997</v>
      </c>
      <c r="K12" s="2">
        <v>5.8299999999999998E-2</v>
      </c>
      <c r="L12" s="2">
        <v>3.3E-3</v>
      </c>
      <c r="M12" s="2">
        <v>7.8E-2</v>
      </c>
      <c r="N12" s="2">
        <v>0.33210000000000001</v>
      </c>
      <c r="O12" s="2">
        <v>3</v>
      </c>
      <c r="P12" s="2">
        <v>2.6</v>
      </c>
      <c r="Q12" s="2"/>
      <c r="S12" s="17" t="s">
        <v>25</v>
      </c>
      <c r="T12" s="17" t="s">
        <v>22</v>
      </c>
      <c r="U12" s="27">
        <f>_xlfn.MAXIFS($J$4:$J$462,$C$4:$C$462,$S12,$E$4:$E$462,$T12)</f>
        <v>0.113</v>
      </c>
      <c r="V12" s="27">
        <f>_xlfn.MINIFS($J$4:$J$462,$C$4:$C$462,$S12,$E$4:$E$462,$T12)</f>
        <v>0.113</v>
      </c>
      <c r="W12" s="27">
        <f>_xlfn.MAXIFS($N$4:$N$462,$C$4:$C$462,$S12,$E$4:$E$462,$T12)</f>
        <v>0.188</v>
      </c>
      <c r="X12" s="27">
        <f>_xlfn.MINIFS($N$4:$N$462,$C$4:$C$462,$S12,$E$4:$E$462,$T12)</f>
        <v>5.2999999999999999E-2</v>
      </c>
      <c r="Y12" s="27">
        <f>_xlfn.MAXIFS($I$4:$I$462,$C$4:$C$462,$S12,$E$4:$E$462,$T12)</f>
        <v>0.22270000000000001</v>
      </c>
      <c r="Z12" s="27">
        <f>_xlfn.MINIFS($I$4:$I$462,$C$4:$C$462,$S12,$E$4:$E$462,$T12)</f>
        <v>0.22270000000000001</v>
      </c>
    </row>
    <row r="13" spans="2:26" x14ac:dyDescent="0.3">
      <c r="B13" s="2">
        <v>-1</v>
      </c>
      <c r="C13" s="2" t="s">
        <v>23</v>
      </c>
      <c r="D13" s="2">
        <v>3</v>
      </c>
      <c r="E13" s="2" t="s">
        <v>22</v>
      </c>
      <c r="F13" s="2" t="s">
        <v>20</v>
      </c>
      <c r="G13" s="2" t="s">
        <v>21</v>
      </c>
      <c r="H13" s="2">
        <v>0</v>
      </c>
      <c r="I13" s="2">
        <v>0.1076</v>
      </c>
      <c r="J13" s="2">
        <v>7.5899999999999995E-2</v>
      </c>
      <c r="K13" s="2">
        <v>0.14360000000000001</v>
      </c>
      <c r="L13" s="2">
        <v>6.9999999999999999E-4</v>
      </c>
      <c r="M13" s="2">
        <v>0.19520000000000001</v>
      </c>
      <c r="N13" s="2">
        <v>8.14E-2</v>
      </c>
      <c r="O13" s="2">
        <v>3</v>
      </c>
      <c r="P13" s="2">
        <v>0</v>
      </c>
      <c r="Q13" s="2"/>
      <c r="S13" s="17" t="s">
        <v>26</v>
      </c>
      <c r="T13" s="17" t="s">
        <v>14</v>
      </c>
      <c r="U13" s="27">
        <f>_xlfn.MAXIFS($J$4:$J$462,$C$4:$C$462,$S13,$E$4:$E$462,$T13)</f>
        <v>1.0402</v>
      </c>
      <c r="V13" s="27">
        <f>_xlfn.MINIFS($J$4:$J$462,$C$4:$C$462,$S13,$E$4:$E$462,$T13)</f>
        <v>1.0402</v>
      </c>
      <c r="W13" s="27">
        <f>_xlfn.MAXIFS($N$4:$N$462,$C$4:$C$462,$S13,$E$4:$E$462,$T13)</f>
        <v>0.83030000000000004</v>
      </c>
      <c r="X13" s="27">
        <f>_xlfn.MINIFS($N$4:$N$462,$C$4:$C$462,$S13,$E$4:$E$462,$T13)</f>
        <v>-1.8743000000000001</v>
      </c>
      <c r="Y13" s="27">
        <f>_xlfn.MAXIFS($I$4:$I$462,$C$4:$C$462,$S13,$E$4:$E$462,$T13)</f>
        <v>-19.331099999999999</v>
      </c>
      <c r="Z13" s="27">
        <f>_xlfn.MINIFS($I$4:$I$462,$C$4:$C$462,$S13,$E$4:$E$462,$T13)</f>
        <v>-20.306100000000001</v>
      </c>
    </row>
    <row r="14" spans="2:26" x14ac:dyDescent="0.3">
      <c r="B14" s="2">
        <v>-1</v>
      </c>
      <c r="C14" s="2" t="s">
        <v>23</v>
      </c>
      <c r="D14" s="2">
        <v>3</v>
      </c>
      <c r="E14" s="2" t="s">
        <v>22</v>
      </c>
      <c r="F14" s="2" t="s">
        <v>20</v>
      </c>
      <c r="G14" s="2" t="s">
        <v>21</v>
      </c>
      <c r="H14" s="2">
        <v>1.3</v>
      </c>
      <c r="I14" s="2">
        <v>0.1076</v>
      </c>
      <c r="J14" s="2">
        <v>7.5899999999999995E-2</v>
      </c>
      <c r="K14" s="2">
        <v>0.14360000000000001</v>
      </c>
      <c r="L14" s="2">
        <v>6.9999999999999999E-4</v>
      </c>
      <c r="M14" s="2">
        <v>8.6999999999999994E-3</v>
      </c>
      <c r="N14" s="2">
        <v>3.7400000000000003E-2</v>
      </c>
      <c r="O14" s="2">
        <v>3</v>
      </c>
      <c r="P14" s="2">
        <v>1.3</v>
      </c>
      <c r="Q14" s="2"/>
      <c r="S14" s="17" t="s">
        <v>26</v>
      </c>
      <c r="T14" s="17" t="s">
        <v>18</v>
      </c>
      <c r="U14" s="27">
        <f>_xlfn.MAXIFS($J$4:$J$462,$C$4:$C$462,$S14,$E$4:$E$462,$T14)</f>
        <v>0.95450000000000002</v>
      </c>
      <c r="V14" s="27">
        <f>_xlfn.MINIFS($J$4:$J$462,$C$4:$C$462,$S14,$E$4:$E$462,$T14)</f>
        <v>0.95450000000000002</v>
      </c>
      <c r="W14" s="27">
        <f>_xlfn.MAXIFS($N$4:$N$462,$C$4:$C$462,$S14,$E$4:$E$462,$T14)</f>
        <v>0.76439999999999997</v>
      </c>
      <c r="X14" s="27">
        <f>_xlfn.MINIFS($N$4:$N$462,$C$4:$C$462,$S14,$E$4:$E$462,$T14)</f>
        <v>-1.7172000000000001</v>
      </c>
      <c r="Y14" s="27">
        <f>_xlfn.MAXIFS($I$4:$I$462,$C$4:$C$462,$S14,$E$4:$E$462,$T14)</f>
        <v>-16.4557</v>
      </c>
      <c r="Z14" s="27">
        <f>_xlfn.MINIFS($I$4:$I$462,$C$4:$C$462,$S14,$E$4:$E$462,$T14)</f>
        <v>-16.4557</v>
      </c>
    </row>
    <row r="15" spans="2:26" x14ac:dyDescent="0.3">
      <c r="B15" s="2">
        <v>-1</v>
      </c>
      <c r="C15" s="2" t="s">
        <v>23</v>
      </c>
      <c r="D15" s="2">
        <v>3</v>
      </c>
      <c r="E15" s="2" t="s">
        <v>22</v>
      </c>
      <c r="F15" s="2" t="s">
        <v>20</v>
      </c>
      <c r="G15" s="2" t="s">
        <v>21</v>
      </c>
      <c r="H15" s="2">
        <v>2.6</v>
      </c>
      <c r="I15" s="2">
        <v>0.1076</v>
      </c>
      <c r="J15" s="2">
        <v>7.5899999999999995E-2</v>
      </c>
      <c r="K15" s="2">
        <v>0.14360000000000001</v>
      </c>
      <c r="L15" s="2">
        <v>6.9999999999999999E-4</v>
      </c>
      <c r="M15" s="2">
        <v>0.17799999999999999</v>
      </c>
      <c r="N15" s="2">
        <v>0.12139999999999999</v>
      </c>
      <c r="O15" s="2">
        <v>3</v>
      </c>
      <c r="P15" s="2">
        <v>2.6</v>
      </c>
      <c r="Q15" s="2"/>
      <c r="S15" s="17" t="s">
        <v>26</v>
      </c>
      <c r="T15" s="17" t="s">
        <v>19</v>
      </c>
      <c r="U15" s="27">
        <f>_xlfn.MAXIFS($J$4:$J$462,$C$4:$C$462,$S15,$E$4:$E$462,$T15)</f>
        <v>0.35160000000000002</v>
      </c>
      <c r="V15" s="27">
        <f>_xlfn.MINIFS($J$4:$J$462,$C$4:$C$462,$S15,$E$4:$E$462,$T15)</f>
        <v>0.35160000000000002</v>
      </c>
      <c r="W15" s="27">
        <f>_xlfn.MAXIFS($N$4:$N$462,$C$4:$C$462,$S15,$E$4:$E$462,$T15)</f>
        <v>0.53520000000000001</v>
      </c>
      <c r="X15" s="27">
        <f>_xlfn.MINIFS($N$4:$N$462,$C$4:$C$462,$S15,$E$4:$E$462,$T15)</f>
        <v>8.1000000000000003E-2</v>
      </c>
      <c r="Y15" s="27">
        <f>_xlfn.MAXIFS($I$4:$I$462,$C$4:$C$462,$S15,$E$4:$E$462,$T15)</f>
        <v>0.2722</v>
      </c>
      <c r="Z15" s="27">
        <f>_xlfn.MINIFS($I$4:$I$462,$C$4:$C$462,$S15,$E$4:$E$462,$T15)</f>
        <v>0.2722</v>
      </c>
    </row>
    <row r="16" spans="2:26" x14ac:dyDescent="0.3">
      <c r="B16" s="2">
        <v>-1</v>
      </c>
      <c r="C16" s="2" t="s">
        <v>23</v>
      </c>
      <c r="D16" s="2">
        <v>3</v>
      </c>
      <c r="E16" s="2" t="s">
        <v>23</v>
      </c>
      <c r="F16" s="2" t="s">
        <v>24</v>
      </c>
      <c r="G16" s="2"/>
      <c r="H16" s="2">
        <v>0</v>
      </c>
      <c r="I16" s="2">
        <v>-29.4055</v>
      </c>
      <c r="J16" s="2">
        <v>0.30809999999999998</v>
      </c>
      <c r="K16" s="2">
        <v>-3.3999999999999998E-3</v>
      </c>
      <c r="L16" s="2">
        <v>4.0000000000000002E-4</v>
      </c>
      <c r="M16" s="2">
        <v>-1.8700000000000001E-2</v>
      </c>
      <c r="N16" s="2">
        <v>0.2117</v>
      </c>
      <c r="O16" s="2">
        <v>3</v>
      </c>
      <c r="P16" s="2">
        <v>0</v>
      </c>
      <c r="Q16" s="2"/>
      <c r="S16" s="17" t="s">
        <v>26</v>
      </c>
      <c r="T16" s="17" t="s">
        <v>22</v>
      </c>
      <c r="U16" s="27">
        <f>_xlfn.MAXIFS($J$4:$J$462,$C$4:$C$462,$S16,$E$4:$E$462,$T16)</f>
        <v>0.13020000000000001</v>
      </c>
      <c r="V16" s="27">
        <f>_xlfn.MINIFS($J$4:$J$462,$C$4:$C$462,$S16,$E$4:$E$462,$T16)</f>
        <v>0.13020000000000001</v>
      </c>
      <c r="W16" s="27">
        <f>_xlfn.MAXIFS($N$4:$N$462,$C$4:$C$462,$S16,$E$4:$E$462,$T16)</f>
        <v>0.2167</v>
      </c>
      <c r="X16" s="27">
        <f>_xlfn.MINIFS($N$4:$N$462,$C$4:$C$462,$S16,$E$4:$E$462,$T16)</f>
        <v>6.0699999999999997E-2</v>
      </c>
      <c r="Y16" s="27">
        <f>_xlfn.MAXIFS($I$4:$I$462,$C$4:$C$462,$S16,$E$4:$E$462,$T16)</f>
        <v>0.2407</v>
      </c>
      <c r="Z16" s="27">
        <f>_xlfn.MINIFS($I$4:$I$462,$C$4:$C$462,$S16,$E$4:$E$462,$T16)</f>
        <v>0.2407</v>
      </c>
    </row>
    <row r="17" spans="2:26" x14ac:dyDescent="0.3">
      <c r="B17" s="2">
        <v>-1</v>
      </c>
      <c r="C17" s="2" t="s">
        <v>23</v>
      </c>
      <c r="D17" s="2">
        <v>3</v>
      </c>
      <c r="E17" s="2" t="s">
        <v>23</v>
      </c>
      <c r="F17" s="2" t="s">
        <v>24</v>
      </c>
      <c r="G17" s="2"/>
      <c r="H17" s="2">
        <v>1.3</v>
      </c>
      <c r="I17" s="2">
        <v>-28.722999999999999</v>
      </c>
      <c r="J17" s="2">
        <v>0.30809999999999998</v>
      </c>
      <c r="K17" s="2">
        <v>-3.3999999999999998E-3</v>
      </c>
      <c r="L17" s="2">
        <v>4.0000000000000002E-4</v>
      </c>
      <c r="M17" s="2">
        <v>-1.43E-2</v>
      </c>
      <c r="N17" s="2">
        <v>-0.1888</v>
      </c>
      <c r="O17" s="2">
        <v>3</v>
      </c>
      <c r="P17" s="2">
        <v>1.3</v>
      </c>
      <c r="Q17" s="2"/>
      <c r="S17" s="17" t="s">
        <v>31</v>
      </c>
      <c r="T17" s="17" t="s">
        <v>14</v>
      </c>
      <c r="U17" s="27">
        <f>_xlfn.MAXIFS($J$4:$J$462,$C$4:$C$462,$S17,$E$4:$E$462,$T17)</f>
        <v>-0.15329999999999999</v>
      </c>
      <c r="V17" s="27">
        <f>_xlfn.MINIFS($J$4:$J$462,$C$4:$C$462,$S17,$E$4:$E$462,$T17)</f>
        <v>-0.15329999999999999</v>
      </c>
      <c r="W17" s="27">
        <f>_xlfn.MAXIFS($N$4:$N$462,$C$4:$C$462,$S17,$E$4:$E$462,$T17)</f>
        <v>0.24349999999999999</v>
      </c>
      <c r="X17" s="27">
        <f>_xlfn.MINIFS($N$4:$N$462,$C$4:$C$462,$S17,$E$4:$E$462,$T17)</f>
        <v>-0.1552</v>
      </c>
      <c r="Y17" s="27">
        <f>_xlfn.MAXIFS($I$4:$I$462,$C$4:$C$462,$S17,$E$4:$E$462,$T17)</f>
        <v>-19.9023</v>
      </c>
      <c r="Z17" s="27">
        <f>_xlfn.MINIFS($I$4:$I$462,$C$4:$C$462,$S17,$E$4:$E$462,$T17)</f>
        <v>-20.877300000000002</v>
      </c>
    </row>
    <row r="18" spans="2:26" x14ac:dyDescent="0.3">
      <c r="B18" s="2">
        <v>-1</v>
      </c>
      <c r="C18" s="2" t="s">
        <v>23</v>
      </c>
      <c r="D18" s="2">
        <v>3</v>
      </c>
      <c r="E18" s="2" t="s">
        <v>23</v>
      </c>
      <c r="F18" s="2" t="s">
        <v>24</v>
      </c>
      <c r="G18" s="2"/>
      <c r="H18" s="2">
        <v>2.6</v>
      </c>
      <c r="I18" s="2">
        <v>-28.040500000000002</v>
      </c>
      <c r="J18" s="2">
        <v>0.30809999999999998</v>
      </c>
      <c r="K18" s="2">
        <v>-3.3999999999999998E-3</v>
      </c>
      <c r="L18" s="2">
        <v>4.0000000000000002E-4</v>
      </c>
      <c r="M18" s="2">
        <v>-9.7999999999999997E-3</v>
      </c>
      <c r="N18" s="2">
        <v>-0.58940000000000003</v>
      </c>
      <c r="O18" s="2">
        <v>3</v>
      </c>
      <c r="P18" s="2">
        <v>2.6</v>
      </c>
      <c r="Q18" s="2"/>
      <c r="S18" s="17" t="s">
        <v>31</v>
      </c>
      <c r="T18" s="17" t="s">
        <v>18</v>
      </c>
      <c r="U18" s="27">
        <f>_xlfn.MAXIFS($J$4:$J$462,$C$4:$C$462,$S18,$E$4:$E$462,$T18)</f>
        <v>-0.1487</v>
      </c>
      <c r="V18" s="27">
        <f>_xlfn.MINIFS($J$4:$J$462,$C$4:$C$462,$S18,$E$4:$E$462,$T18)</f>
        <v>-0.1487</v>
      </c>
      <c r="W18" s="27">
        <f>_xlfn.MAXIFS($N$4:$N$462,$C$4:$C$462,$S18,$E$4:$E$462,$T18)</f>
        <v>0.23549999999999999</v>
      </c>
      <c r="X18" s="27">
        <f>_xlfn.MINIFS($N$4:$N$462,$C$4:$C$462,$S18,$E$4:$E$462,$T18)</f>
        <v>-0.1512</v>
      </c>
      <c r="Y18" s="27">
        <f>_xlfn.MAXIFS($I$4:$I$462,$C$4:$C$462,$S18,$E$4:$E$462,$T18)</f>
        <v>-17.078499999999998</v>
      </c>
      <c r="Z18" s="27">
        <f>_xlfn.MINIFS($I$4:$I$462,$C$4:$C$462,$S18,$E$4:$E$462,$T18)</f>
        <v>-17.078499999999998</v>
      </c>
    </row>
    <row r="19" spans="2:26" x14ac:dyDescent="0.3">
      <c r="B19" s="2">
        <v>-1</v>
      </c>
      <c r="C19" s="2" t="s">
        <v>23</v>
      </c>
      <c r="D19" s="2">
        <v>3</v>
      </c>
      <c r="E19" s="2" t="s">
        <v>25</v>
      </c>
      <c r="F19" s="2" t="s">
        <v>24</v>
      </c>
      <c r="G19" s="2"/>
      <c r="H19" s="2">
        <v>0</v>
      </c>
      <c r="I19" s="2">
        <v>-52.695300000000003</v>
      </c>
      <c r="J19" s="2">
        <v>0.58509999999999995</v>
      </c>
      <c r="K19" s="2">
        <v>-1.1599999999999999E-2</v>
      </c>
      <c r="L19" s="2">
        <v>1.1000000000000001E-3</v>
      </c>
      <c r="M19" s="2">
        <v>-4.2000000000000003E-2</v>
      </c>
      <c r="N19" s="2">
        <v>0.3982</v>
      </c>
      <c r="O19" s="2">
        <v>3</v>
      </c>
      <c r="P19" s="2">
        <v>0</v>
      </c>
      <c r="Q19" s="2"/>
      <c r="S19" s="17" t="s">
        <v>31</v>
      </c>
      <c r="T19" s="17" t="s">
        <v>19</v>
      </c>
      <c r="U19" s="27">
        <f>_xlfn.MAXIFS($J$4:$J$462,$C$4:$C$462,$S19,$E$4:$E$462,$T19)</f>
        <v>0.28639999999999999</v>
      </c>
      <c r="V19" s="27">
        <f>_xlfn.MINIFS($J$4:$J$462,$C$4:$C$462,$S19,$E$4:$E$462,$T19)</f>
        <v>0.28639999999999999</v>
      </c>
      <c r="W19" s="27">
        <f>_xlfn.MAXIFS($N$4:$N$462,$C$4:$C$462,$S19,$E$4:$E$462,$T19)</f>
        <v>0.43109999999999998</v>
      </c>
      <c r="X19" s="27">
        <f>_xlfn.MINIFS($N$4:$N$462,$C$4:$C$462,$S19,$E$4:$E$462,$T19)</f>
        <v>5.8700000000000002E-2</v>
      </c>
      <c r="Y19" s="27">
        <f>_xlfn.MAXIFS($I$4:$I$462,$C$4:$C$462,$S19,$E$4:$E$462,$T19)</f>
        <v>2.3E-2</v>
      </c>
      <c r="Z19" s="27">
        <f>_xlfn.MINIFS($I$4:$I$462,$C$4:$C$462,$S19,$E$4:$E$462,$T19)</f>
        <v>2.3E-2</v>
      </c>
    </row>
    <row r="20" spans="2:26" x14ac:dyDescent="0.3">
      <c r="B20" s="2">
        <v>-1</v>
      </c>
      <c r="C20" s="2" t="s">
        <v>23</v>
      </c>
      <c r="D20" s="2">
        <v>3</v>
      </c>
      <c r="E20" s="2" t="s">
        <v>25</v>
      </c>
      <c r="F20" s="2" t="s">
        <v>24</v>
      </c>
      <c r="G20" s="2"/>
      <c r="H20" s="2">
        <v>1.3</v>
      </c>
      <c r="I20" s="2">
        <v>-52.110300000000002</v>
      </c>
      <c r="J20" s="2">
        <v>0.58509999999999995</v>
      </c>
      <c r="K20" s="2">
        <v>-1.1599999999999999E-2</v>
      </c>
      <c r="L20" s="2">
        <v>1.1000000000000001E-3</v>
      </c>
      <c r="M20" s="2">
        <v>-2.69E-2</v>
      </c>
      <c r="N20" s="2">
        <v>-0.36249999999999999</v>
      </c>
      <c r="O20" s="2">
        <v>3</v>
      </c>
      <c r="P20" s="2">
        <v>1.3</v>
      </c>
      <c r="Q20" s="2"/>
      <c r="S20" s="17" t="s">
        <v>31</v>
      </c>
      <c r="T20" s="17" t="s">
        <v>22</v>
      </c>
      <c r="U20" s="27">
        <f>_xlfn.MAXIFS($J$4:$J$462,$C$4:$C$462,$S20,$E$4:$E$462,$T20)</f>
        <v>5.1700000000000003E-2</v>
      </c>
      <c r="V20" s="27">
        <f>_xlfn.MINIFS($J$4:$J$462,$C$4:$C$462,$S20,$E$4:$E$462,$T20)</f>
        <v>5.1700000000000003E-2</v>
      </c>
      <c r="W20" s="27">
        <f>_xlfn.MAXIFS($N$4:$N$462,$C$4:$C$462,$S20,$E$4:$E$462,$T20)</f>
        <v>7.4999999999999997E-2</v>
      </c>
      <c r="X20" s="27">
        <f>_xlfn.MINIFS($N$4:$N$462,$C$4:$C$462,$S20,$E$4:$E$462,$T20)</f>
        <v>9.1999999999999998E-3</v>
      </c>
      <c r="Y20" s="27">
        <f>_xlfn.MAXIFS($I$4:$I$462,$C$4:$C$462,$S20,$E$4:$E$462,$T20)</f>
        <v>1.12E-2</v>
      </c>
      <c r="Z20" s="27">
        <f>_xlfn.MINIFS($I$4:$I$462,$C$4:$C$462,$S20,$E$4:$E$462,$T20)</f>
        <v>1.12E-2</v>
      </c>
    </row>
    <row r="21" spans="2:26" x14ac:dyDescent="0.3">
      <c r="B21" s="2">
        <v>-1</v>
      </c>
      <c r="C21" s="2" t="s">
        <v>23</v>
      </c>
      <c r="D21" s="2">
        <v>3</v>
      </c>
      <c r="E21" s="2" t="s">
        <v>25</v>
      </c>
      <c r="F21" s="2" t="s">
        <v>24</v>
      </c>
      <c r="G21" s="2"/>
      <c r="H21" s="2">
        <v>2.6</v>
      </c>
      <c r="I21" s="2">
        <v>-51.525300000000001</v>
      </c>
      <c r="J21" s="2">
        <v>0.58509999999999995</v>
      </c>
      <c r="K21" s="2">
        <v>-1.1599999999999999E-2</v>
      </c>
      <c r="L21" s="2">
        <v>1.1000000000000001E-3</v>
      </c>
      <c r="M21" s="2">
        <v>-1.18E-2</v>
      </c>
      <c r="N21" s="2">
        <v>-1.1232</v>
      </c>
      <c r="O21" s="2">
        <v>3</v>
      </c>
      <c r="P21" s="2">
        <v>2.6</v>
      </c>
      <c r="Q21" s="2"/>
      <c r="S21" s="17" t="s">
        <v>28</v>
      </c>
      <c r="T21" s="17" t="s">
        <v>14</v>
      </c>
      <c r="U21" s="27">
        <f>_xlfn.MAXIFS($J$4:$J$462,$C$4:$C$462,$S21,$E$4:$E$462,$T21)</f>
        <v>-0.11609999999999999</v>
      </c>
      <c r="V21" s="27">
        <f>_xlfn.MINIFS($J$4:$J$462,$C$4:$C$462,$S21,$E$4:$E$462,$T21)</f>
        <v>-0.11609999999999999</v>
      </c>
      <c r="W21" s="27">
        <f>_xlfn.MAXIFS($N$4:$N$462,$C$4:$C$462,$S21,$E$4:$E$462,$T21)</f>
        <v>0.18049999999999999</v>
      </c>
      <c r="X21" s="27">
        <f>_xlfn.MINIFS($N$4:$N$462,$C$4:$C$462,$S21,$E$4:$E$462,$T21)</f>
        <v>-0.12139999999999999</v>
      </c>
      <c r="Y21" s="27">
        <f>_xlfn.MAXIFS($I$4:$I$462,$C$4:$C$462,$S21,$E$4:$E$462,$T21)</f>
        <v>-17.967400000000001</v>
      </c>
      <c r="Z21" s="27">
        <f>_xlfn.MINIFS($I$4:$I$462,$C$4:$C$462,$S21,$E$4:$E$462,$T21)</f>
        <v>-18.942399999999999</v>
      </c>
    </row>
    <row r="22" spans="2:26" x14ac:dyDescent="0.3">
      <c r="B22" s="2">
        <v>-1</v>
      </c>
      <c r="C22" s="2" t="s">
        <v>23</v>
      </c>
      <c r="D22" s="2">
        <v>3</v>
      </c>
      <c r="E22" s="2" t="s">
        <v>26</v>
      </c>
      <c r="F22" s="2" t="s">
        <v>24</v>
      </c>
      <c r="G22" s="2" t="s">
        <v>21</v>
      </c>
      <c r="H22" s="2">
        <v>0</v>
      </c>
      <c r="I22" s="2">
        <v>-18.8066</v>
      </c>
      <c r="J22" s="2">
        <v>0.61329999999999996</v>
      </c>
      <c r="K22" s="2">
        <v>7.9500000000000001E-2</v>
      </c>
      <c r="L22" s="2">
        <v>4.8999999999999998E-3</v>
      </c>
      <c r="M22" s="2">
        <v>9.1200000000000003E-2</v>
      </c>
      <c r="N22" s="2">
        <v>0.75109999999999999</v>
      </c>
      <c r="O22" s="2">
        <v>3</v>
      </c>
      <c r="P22" s="2">
        <v>0</v>
      </c>
      <c r="Q22" s="2"/>
      <c r="S22" s="17" t="s">
        <v>28</v>
      </c>
      <c r="T22" s="17" t="s">
        <v>18</v>
      </c>
      <c r="U22" s="27">
        <f>_xlfn.MAXIFS($J$4:$J$462,$C$4:$C$462,$S22,$E$4:$E$462,$T22)</f>
        <v>-0.112</v>
      </c>
      <c r="V22" s="27">
        <f>_xlfn.MINIFS($J$4:$J$462,$C$4:$C$462,$S22,$E$4:$E$462,$T22)</f>
        <v>-0.112</v>
      </c>
      <c r="W22" s="27">
        <f>_xlfn.MAXIFS($N$4:$N$462,$C$4:$C$462,$S22,$E$4:$E$462,$T22)</f>
        <v>0.1757</v>
      </c>
      <c r="X22" s="27">
        <f>_xlfn.MINIFS($N$4:$N$462,$C$4:$C$462,$S22,$E$4:$E$462,$T22)</f>
        <v>-0.11559999999999999</v>
      </c>
      <c r="Y22" s="27">
        <f>_xlfn.MAXIFS($I$4:$I$462,$C$4:$C$462,$S22,$E$4:$E$462,$T22)</f>
        <v>-15.3163</v>
      </c>
      <c r="Z22" s="27">
        <f>_xlfn.MINIFS($I$4:$I$462,$C$4:$C$462,$S22,$E$4:$E$462,$T22)</f>
        <v>-15.3163</v>
      </c>
    </row>
    <row r="23" spans="2:26" x14ac:dyDescent="0.3">
      <c r="B23" s="2">
        <v>-1</v>
      </c>
      <c r="C23" s="2" t="s">
        <v>23</v>
      </c>
      <c r="D23" s="2">
        <v>3</v>
      </c>
      <c r="E23" s="2" t="s">
        <v>26</v>
      </c>
      <c r="F23" s="2" t="s">
        <v>24</v>
      </c>
      <c r="G23" s="2" t="s">
        <v>21</v>
      </c>
      <c r="H23" s="2">
        <v>1.3</v>
      </c>
      <c r="I23" s="2">
        <v>-18.367799999999999</v>
      </c>
      <c r="J23" s="2">
        <v>0.61329999999999996</v>
      </c>
      <c r="K23" s="2">
        <v>7.9500000000000001E-2</v>
      </c>
      <c r="L23" s="2">
        <v>4.8999999999999998E-3</v>
      </c>
      <c r="M23" s="2">
        <v>-1.1999999999999999E-3</v>
      </c>
      <c r="N23" s="2">
        <v>-4.53E-2</v>
      </c>
      <c r="O23" s="2">
        <v>3</v>
      </c>
      <c r="P23" s="2">
        <v>1.3</v>
      </c>
      <c r="Q23" s="2"/>
      <c r="S23" s="17" t="s">
        <v>28</v>
      </c>
      <c r="T23" s="17" t="s">
        <v>19</v>
      </c>
      <c r="U23" s="27">
        <f>_xlfn.MAXIFS($J$4:$J$462,$C$4:$C$462,$S23,$E$4:$E$462,$T23)</f>
        <v>0.32290000000000002</v>
      </c>
      <c r="V23" s="27">
        <f>_xlfn.MINIFS($J$4:$J$462,$C$4:$C$462,$S23,$E$4:$E$462,$T23)</f>
        <v>0.32290000000000002</v>
      </c>
      <c r="W23" s="27">
        <f>_xlfn.MAXIFS($N$4:$N$462,$C$4:$C$462,$S23,$E$4:$E$462,$T23)</f>
        <v>0.48780000000000001</v>
      </c>
      <c r="X23" s="27">
        <f>_xlfn.MINIFS($N$4:$N$462,$C$4:$C$462,$S23,$E$4:$E$462,$T23)</f>
        <v>6.8099999999999994E-2</v>
      </c>
      <c r="Y23" s="27">
        <f>_xlfn.MAXIFS($I$4:$I$462,$C$4:$C$462,$S23,$E$4:$E$462,$T23)</f>
        <v>1.72E-2</v>
      </c>
      <c r="Z23" s="27">
        <f>_xlfn.MINIFS($I$4:$I$462,$C$4:$C$462,$S23,$E$4:$E$462,$T23)</f>
        <v>1.72E-2</v>
      </c>
    </row>
    <row r="24" spans="2:26" x14ac:dyDescent="0.3">
      <c r="B24" s="2">
        <v>-1</v>
      </c>
      <c r="C24" s="2" t="s">
        <v>23</v>
      </c>
      <c r="D24" s="2">
        <v>3</v>
      </c>
      <c r="E24" s="2" t="s">
        <v>26</v>
      </c>
      <c r="F24" s="2" t="s">
        <v>24</v>
      </c>
      <c r="G24" s="2" t="s">
        <v>21</v>
      </c>
      <c r="H24" s="2">
        <v>2.6</v>
      </c>
      <c r="I24" s="2">
        <v>-17.929099999999998</v>
      </c>
      <c r="J24" s="2">
        <v>0.61329999999999996</v>
      </c>
      <c r="K24" s="2">
        <v>7.9500000000000001E-2</v>
      </c>
      <c r="L24" s="2">
        <v>4.8999999999999998E-3</v>
      </c>
      <c r="M24" s="2">
        <v>0.10290000000000001</v>
      </c>
      <c r="N24" s="2">
        <v>8.5999999999999993E-2</v>
      </c>
      <c r="O24" s="2">
        <v>3</v>
      </c>
      <c r="P24" s="2">
        <v>2.6</v>
      </c>
      <c r="Q24" s="2"/>
      <c r="S24" s="17" t="s">
        <v>28</v>
      </c>
      <c r="T24" s="17" t="s">
        <v>22</v>
      </c>
      <c r="U24" s="27">
        <f>_xlfn.MAXIFS($J$4:$J$462,$C$4:$C$462,$S24,$E$4:$E$462,$T24)</f>
        <v>4.4499999999999998E-2</v>
      </c>
      <c r="V24" s="27">
        <f>_xlfn.MINIFS($J$4:$J$462,$C$4:$C$462,$S24,$E$4:$E$462,$T24)</f>
        <v>4.4499999999999998E-2</v>
      </c>
      <c r="W24" s="27">
        <f>_xlfn.MAXIFS($N$4:$N$462,$C$4:$C$462,$S24,$E$4:$E$462,$T24)</f>
        <v>6.2799999999999995E-2</v>
      </c>
      <c r="X24" s="27">
        <f>_xlfn.MINIFS($N$4:$N$462,$C$4:$C$462,$S24,$E$4:$E$462,$T24)</f>
        <v>1.2E-2</v>
      </c>
      <c r="Y24" s="27">
        <f>_xlfn.MAXIFS($I$4:$I$462,$C$4:$C$462,$S24,$E$4:$E$462,$T24)</f>
        <v>8.1100000000000005E-2</v>
      </c>
      <c r="Z24" s="27">
        <f>_xlfn.MINIFS($I$4:$I$462,$C$4:$C$462,$S24,$E$4:$E$462,$T24)</f>
        <v>8.1100000000000005E-2</v>
      </c>
    </row>
    <row r="25" spans="2:26" x14ac:dyDescent="0.3">
      <c r="B25" s="2">
        <v>-1</v>
      </c>
      <c r="C25" s="2" t="s">
        <v>23</v>
      </c>
      <c r="D25" s="2">
        <v>3</v>
      </c>
      <c r="E25" s="2" t="s">
        <v>26</v>
      </c>
      <c r="F25" s="2" t="s">
        <v>24</v>
      </c>
      <c r="G25" s="2" t="s">
        <v>27</v>
      </c>
      <c r="H25" s="2">
        <v>0</v>
      </c>
      <c r="I25" s="2">
        <v>-19.000499999999999</v>
      </c>
      <c r="J25" s="2">
        <v>-0.2172</v>
      </c>
      <c r="K25" s="2">
        <v>-8.3900000000000002E-2</v>
      </c>
      <c r="L25" s="2">
        <v>-4.4000000000000003E-3</v>
      </c>
      <c r="M25" s="2">
        <v>-0.1153</v>
      </c>
      <c r="N25" s="2">
        <v>-0.47889999999999999</v>
      </c>
      <c r="O25" s="2">
        <v>3</v>
      </c>
      <c r="P25" s="2">
        <v>0</v>
      </c>
      <c r="Q25" s="2"/>
      <c r="S25" s="17" t="s">
        <v>29</v>
      </c>
      <c r="T25" s="17" t="s">
        <v>14</v>
      </c>
      <c r="U25" s="27">
        <f>_xlfn.MAXIFS($J$4:$J$462,$C$4:$C$462,$S25,$E$4:$E$462,$T25)</f>
        <v>-0.20419999999999999</v>
      </c>
      <c r="V25" s="27">
        <f>_xlfn.MINIFS($J$4:$J$462,$C$4:$C$462,$S25,$E$4:$E$462,$T25)</f>
        <v>-0.20419999999999999</v>
      </c>
      <c r="W25" s="27">
        <f>_xlfn.MAXIFS($N$4:$N$462,$C$4:$C$462,$S25,$E$4:$E$462,$T25)</f>
        <v>0.3402</v>
      </c>
      <c r="X25" s="27">
        <f>_xlfn.MINIFS($N$4:$N$462,$C$4:$C$462,$S25,$E$4:$E$462,$T25)</f>
        <v>-0.1908</v>
      </c>
      <c r="Y25" s="27">
        <f>_xlfn.MAXIFS($I$4:$I$462,$C$4:$C$462,$S25,$E$4:$E$462,$T25)</f>
        <v>-17.547599999999999</v>
      </c>
      <c r="Z25" s="27">
        <f>_xlfn.MINIFS($I$4:$I$462,$C$4:$C$462,$S25,$E$4:$E$462,$T25)</f>
        <v>-18.522600000000001</v>
      </c>
    </row>
    <row r="26" spans="2:26" x14ac:dyDescent="0.3">
      <c r="B26" s="2">
        <v>-1</v>
      </c>
      <c r="C26" s="2" t="s">
        <v>23</v>
      </c>
      <c r="D26" s="2">
        <v>3</v>
      </c>
      <c r="E26" s="2" t="s">
        <v>26</v>
      </c>
      <c r="F26" s="2" t="s">
        <v>24</v>
      </c>
      <c r="G26" s="2" t="s">
        <v>27</v>
      </c>
      <c r="H26" s="2">
        <v>1.3</v>
      </c>
      <c r="I26" s="2">
        <v>-18.561800000000002</v>
      </c>
      <c r="J26" s="2">
        <v>-0.2172</v>
      </c>
      <c r="K26" s="2">
        <v>-8.3900000000000002E-2</v>
      </c>
      <c r="L26" s="2">
        <v>-4.4000000000000003E-3</v>
      </c>
      <c r="M26" s="2">
        <v>-1.72E-2</v>
      </c>
      <c r="N26" s="2">
        <v>-0.19750000000000001</v>
      </c>
      <c r="O26" s="2">
        <v>3</v>
      </c>
      <c r="P26" s="2">
        <v>1.3</v>
      </c>
      <c r="Q26" s="2"/>
      <c r="S26" s="17" t="s">
        <v>29</v>
      </c>
      <c r="T26" s="17" t="s">
        <v>18</v>
      </c>
      <c r="U26" s="27">
        <f>_xlfn.MAXIFS($J$4:$J$462,$C$4:$C$462,$S26,$E$4:$E$462,$T26)</f>
        <v>-0.1588</v>
      </c>
      <c r="V26" s="27">
        <f>_xlfn.MINIFS($J$4:$J$462,$C$4:$C$462,$S26,$E$4:$E$462,$T26)</f>
        <v>-0.1588</v>
      </c>
      <c r="W26" s="27">
        <f>_xlfn.MAXIFS($N$4:$N$462,$C$4:$C$462,$S26,$E$4:$E$462,$T26)</f>
        <v>0.26379999999999998</v>
      </c>
      <c r="X26" s="27">
        <f>_xlfn.MINIFS($N$4:$N$462,$C$4:$C$462,$S26,$E$4:$E$462,$T26)</f>
        <v>-0.14899999999999999</v>
      </c>
      <c r="Y26" s="27">
        <f>_xlfn.MAXIFS($I$4:$I$462,$C$4:$C$462,$S26,$E$4:$E$462,$T26)</f>
        <v>-14.786799999999999</v>
      </c>
      <c r="Z26" s="27">
        <f>_xlfn.MINIFS($I$4:$I$462,$C$4:$C$462,$S26,$E$4:$E$462,$T26)</f>
        <v>-14.786799999999999</v>
      </c>
    </row>
    <row r="27" spans="2:26" x14ac:dyDescent="0.3">
      <c r="B27" s="2">
        <v>-1</v>
      </c>
      <c r="C27" s="2" t="s">
        <v>23</v>
      </c>
      <c r="D27" s="2">
        <v>3</v>
      </c>
      <c r="E27" s="2" t="s">
        <v>26</v>
      </c>
      <c r="F27" s="2" t="s">
        <v>24</v>
      </c>
      <c r="G27" s="2" t="s">
        <v>27</v>
      </c>
      <c r="H27" s="2">
        <v>2.6</v>
      </c>
      <c r="I27" s="2">
        <v>-18.123000000000001</v>
      </c>
      <c r="J27" s="2">
        <v>-0.2172</v>
      </c>
      <c r="K27" s="2">
        <v>-8.3900000000000002E-2</v>
      </c>
      <c r="L27" s="2">
        <v>-4.4000000000000003E-3</v>
      </c>
      <c r="M27" s="2">
        <v>-0.11550000000000001</v>
      </c>
      <c r="N27" s="2">
        <v>-0.84379999999999999</v>
      </c>
      <c r="O27" s="2">
        <v>3</v>
      </c>
      <c r="P27" s="2">
        <v>2.6</v>
      </c>
      <c r="Q27" s="2"/>
      <c r="S27" s="17" t="s">
        <v>29</v>
      </c>
      <c r="T27" s="17" t="s">
        <v>19</v>
      </c>
      <c r="U27" s="27">
        <f>_xlfn.MAXIFS($J$4:$J$462,$C$4:$C$462,$S27,$E$4:$E$462,$T27)</f>
        <v>0.3654</v>
      </c>
      <c r="V27" s="27">
        <f>_xlfn.MINIFS($J$4:$J$462,$C$4:$C$462,$S27,$E$4:$E$462,$T27)</f>
        <v>0.3654</v>
      </c>
      <c r="W27" s="27">
        <f>_xlfn.MAXIFS($N$4:$N$462,$C$4:$C$462,$S27,$E$4:$E$462,$T27)</f>
        <v>0.54700000000000004</v>
      </c>
      <c r="X27" s="27">
        <f>_xlfn.MINIFS($N$4:$N$462,$C$4:$C$462,$S27,$E$4:$E$462,$T27)</f>
        <v>7.2300000000000003E-2</v>
      </c>
      <c r="Y27" s="27">
        <f>_xlfn.MAXIFS($I$4:$I$462,$C$4:$C$462,$S27,$E$4:$E$462,$T27)</f>
        <v>7.3899999999999993E-2</v>
      </c>
      <c r="Z27" s="27">
        <f>_xlfn.MINIFS($I$4:$I$462,$C$4:$C$462,$S27,$E$4:$E$462,$T27)</f>
        <v>7.3899999999999993E-2</v>
      </c>
    </row>
    <row r="28" spans="2:26" x14ac:dyDescent="0.3">
      <c r="B28" s="2">
        <v>-1</v>
      </c>
      <c r="C28" s="2" t="s">
        <v>23</v>
      </c>
      <c r="D28" s="2">
        <v>3</v>
      </c>
      <c r="E28" s="2" t="s">
        <v>28</v>
      </c>
      <c r="F28" s="2" t="s">
        <v>24</v>
      </c>
      <c r="G28" s="2" t="s">
        <v>21</v>
      </c>
      <c r="H28" s="2">
        <v>0</v>
      </c>
      <c r="I28" s="2">
        <v>-42.289400000000001</v>
      </c>
      <c r="J28" s="2">
        <v>0.88</v>
      </c>
      <c r="K28" s="2">
        <v>7.3300000000000004E-2</v>
      </c>
      <c r="L28" s="2">
        <v>5.4000000000000003E-3</v>
      </c>
      <c r="M28" s="2">
        <v>7.0999999999999994E-2</v>
      </c>
      <c r="N28" s="2">
        <v>0.93189999999999995</v>
      </c>
      <c r="O28" s="2">
        <v>3</v>
      </c>
      <c r="P28" s="2">
        <v>0</v>
      </c>
      <c r="Q28" s="2"/>
      <c r="S28" s="17" t="s">
        <v>29</v>
      </c>
      <c r="T28" s="17" t="s">
        <v>22</v>
      </c>
      <c r="U28" s="27">
        <f>_xlfn.MAXIFS($J$4:$J$462,$C$4:$C$462,$S28,$E$4:$E$462,$T28)</f>
        <v>4.3299999999999998E-2</v>
      </c>
      <c r="V28" s="27">
        <f>_xlfn.MINIFS($J$4:$J$462,$C$4:$C$462,$S28,$E$4:$E$462,$T28)</f>
        <v>4.3299999999999998E-2</v>
      </c>
      <c r="W28" s="27">
        <f>_xlfn.MAXIFS($N$4:$N$462,$C$4:$C$462,$S28,$E$4:$E$462,$T28)</f>
        <v>5.9900000000000002E-2</v>
      </c>
      <c r="X28" s="27">
        <f>_xlfn.MINIFS($N$4:$N$462,$C$4:$C$462,$S28,$E$4:$E$462,$T28)</f>
        <v>6.7000000000000002E-3</v>
      </c>
      <c r="Y28" s="27">
        <f>_xlfn.MAXIFS($I$4:$I$462,$C$4:$C$462,$S28,$E$4:$E$462,$T28)</f>
        <v>0.47270000000000001</v>
      </c>
      <c r="Z28" s="27">
        <f>_xlfn.MINIFS($I$4:$I$462,$C$4:$C$462,$S28,$E$4:$E$462,$T28)</f>
        <v>0.47270000000000001</v>
      </c>
    </row>
    <row r="29" spans="2:26" x14ac:dyDescent="0.3">
      <c r="B29" s="2">
        <v>-1</v>
      </c>
      <c r="C29" s="2" t="s">
        <v>23</v>
      </c>
      <c r="D29" s="2">
        <v>3</v>
      </c>
      <c r="E29" s="2" t="s">
        <v>28</v>
      </c>
      <c r="F29" s="2" t="s">
        <v>24</v>
      </c>
      <c r="G29" s="2" t="s">
        <v>21</v>
      </c>
      <c r="H29" s="2">
        <v>1.3</v>
      </c>
      <c r="I29" s="2">
        <v>-41.7044</v>
      </c>
      <c r="J29" s="2">
        <v>0.88</v>
      </c>
      <c r="K29" s="2">
        <v>7.3300000000000004E-2</v>
      </c>
      <c r="L29" s="2">
        <v>5.4000000000000003E-3</v>
      </c>
      <c r="M29" s="2">
        <v>-1.34E-2</v>
      </c>
      <c r="N29" s="2">
        <v>-0.2112</v>
      </c>
      <c r="O29" s="2">
        <v>3</v>
      </c>
      <c r="P29" s="2">
        <v>1.3</v>
      </c>
      <c r="Q29" s="2"/>
      <c r="S29" s="17" t="s">
        <v>107</v>
      </c>
      <c r="T29" s="17" t="s">
        <v>14</v>
      </c>
      <c r="U29" s="27">
        <f>_xlfn.MAXIFS($J$4:$J$462,$C$4:$C$462,$S29,$E$4:$E$462,$T29)</f>
        <v>-2.1619999999999999</v>
      </c>
      <c r="V29" s="27">
        <f>_xlfn.MINIFS($J$4:$J$462,$C$4:$C$462,$S29,$E$4:$E$462,$T29)</f>
        <v>-2.1619999999999999</v>
      </c>
      <c r="W29" s="27">
        <f>_xlfn.MAXIFS($N$4:$N$462,$C$4:$C$462,$S29,$E$4:$E$462,$T29)</f>
        <v>3.8178999999999998</v>
      </c>
      <c r="X29" s="27">
        <f>_xlfn.MINIFS($N$4:$N$462,$C$4:$C$462,$S29,$E$4:$E$462,$T29)</f>
        <v>-1.8032999999999999</v>
      </c>
      <c r="Y29" s="27">
        <f>_xlfn.MAXIFS($I$4:$I$462,$C$4:$C$462,$S29,$E$4:$E$462,$T29)</f>
        <v>-24.6799</v>
      </c>
      <c r="Z29" s="27">
        <f>_xlfn.MINIFS($I$4:$I$462,$C$4:$C$462,$S29,$E$4:$E$462,$T29)</f>
        <v>-25.654900000000001</v>
      </c>
    </row>
    <row r="30" spans="2:26" x14ac:dyDescent="0.3">
      <c r="B30" s="2">
        <v>-1</v>
      </c>
      <c r="C30" s="2" t="s">
        <v>23</v>
      </c>
      <c r="D30" s="2">
        <v>3</v>
      </c>
      <c r="E30" s="2" t="s">
        <v>28</v>
      </c>
      <c r="F30" s="2" t="s">
        <v>24</v>
      </c>
      <c r="G30" s="2" t="s">
        <v>21</v>
      </c>
      <c r="H30" s="2">
        <v>2.6</v>
      </c>
      <c r="I30" s="2">
        <v>-41.119399999999999</v>
      </c>
      <c r="J30" s="2">
        <v>0.88</v>
      </c>
      <c r="K30" s="2">
        <v>7.3300000000000004E-2</v>
      </c>
      <c r="L30" s="2">
        <v>5.4000000000000003E-3</v>
      </c>
      <c r="M30" s="2">
        <v>9.8699999999999996E-2</v>
      </c>
      <c r="N30" s="2">
        <v>-0.42659999999999998</v>
      </c>
      <c r="O30" s="2">
        <v>3</v>
      </c>
      <c r="P30" s="2">
        <v>2.6</v>
      </c>
      <c r="Q30" s="2"/>
      <c r="S30" s="17" t="s">
        <v>107</v>
      </c>
      <c r="T30" s="17" t="s">
        <v>18</v>
      </c>
      <c r="U30" s="27">
        <f>_xlfn.MAXIFS($J$4:$J$462,$C$4:$C$462,$S30,$E$4:$E$462,$T30)</f>
        <v>-2.0221</v>
      </c>
      <c r="V30" s="27">
        <f>_xlfn.MINIFS($J$4:$J$462,$C$4:$C$462,$S30,$E$4:$E$462,$T30)</f>
        <v>-2.0221</v>
      </c>
      <c r="W30" s="27">
        <f>_xlfn.MAXIFS($N$4:$N$462,$C$4:$C$462,$S30,$E$4:$E$462,$T30)</f>
        <v>3.5691999999999999</v>
      </c>
      <c r="X30" s="27">
        <f>_xlfn.MINIFS($N$4:$N$462,$C$4:$C$462,$S30,$E$4:$E$462,$T30)</f>
        <v>-1.6883999999999999</v>
      </c>
      <c r="Y30" s="27">
        <f>_xlfn.MAXIFS($I$4:$I$462,$C$4:$C$462,$S30,$E$4:$E$462,$T30)</f>
        <v>-21.554200000000002</v>
      </c>
      <c r="Z30" s="27">
        <f>_xlfn.MINIFS($I$4:$I$462,$C$4:$C$462,$S30,$E$4:$E$462,$T30)</f>
        <v>-21.554200000000002</v>
      </c>
    </row>
    <row r="31" spans="2:26" x14ac:dyDescent="0.3">
      <c r="B31" s="2">
        <v>-1</v>
      </c>
      <c r="C31" s="2" t="s">
        <v>23</v>
      </c>
      <c r="D31" s="2">
        <v>3</v>
      </c>
      <c r="E31" s="2" t="s">
        <v>28</v>
      </c>
      <c r="F31" s="2" t="s">
        <v>24</v>
      </c>
      <c r="G31" s="2" t="s">
        <v>27</v>
      </c>
      <c r="H31" s="2">
        <v>0</v>
      </c>
      <c r="I31" s="2">
        <v>-42.4833</v>
      </c>
      <c r="J31" s="2">
        <v>4.9500000000000002E-2</v>
      </c>
      <c r="K31" s="2">
        <v>-0.09</v>
      </c>
      <c r="L31" s="2">
        <v>-3.8E-3</v>
      </c>
      <c r="M31" s="2">
        <v>-0.13550000000000001</v>
      </c>
      <c r="N31" s="2">
        <v>-0.29809999999999998</v>
      </c>
      <c r="O31" s="2">
        <v>3</v>
      </c>
      <c r="P31" s="2">
        <v>0</v>
      </c>
      <c r="Q31" s="2"/>
      <c r="S31" s="17" t="s">
        <v>107</v>
      </c>
      <c r="T31" s="17" t="s">
        <v>19</v>
      </c>
      <c r="U31" s="27">
        <f>_xlfn.MAXIFS($J$4:$J$462,$C$4:$C$462,$S31,$E$4:$E$462,$T31)</f>
        <v>0.28339999999999999</v>
      </c>
      <c r="V31" s="27">
        <f>_xlfn.MINIFS($J$4:$J$462,$C$4:$C$462,$S31,$E$4:$E$462,$T31)</f>
        <v>0.28339999999999999</v>
      </c>
      <c r="W31" s="27">
        <f>_xlfn.MAXIFS($N$4:$N$462,$C$4:$C$462,$S31,$E$4:$E$462,$T31)</f>
        <v>0.42859999999999998</v>
      </c>
      <c r="X31" s="27">
        <f>_xlfn.MINIFS($N$4:$N$462,$C$4:$C$462,$S31,$E$4:$E$462,$T31)</f>
        <v>6.0199999999999997E-2</v>
      </c>
      <c r="Y31" s="27">
        <f>_xlfn.MAXIFS($I$4:$I$462,$C$4:$C$462,$S31,$E$4:$E$462,$T31)</f>
        <v>3.5299999999999998E-2</v>
      </c>
      <c r="Z31" s="27">
        <f>_xlfn.MINIFS($I$4:$I$462,$C$4:$C$462,$S31,$E$4:$E$462,$T31)</f>
        <v>3.5299999999999998E-2</v>
      </c>
    </row>
    <row r="32" spans="2:26" x14ac:dyDescent="0.3">
      <c r="B32" s="2">
        <v>-1</v>
      </c>
      <c r="C32" s="2" t="s">
        <v>23</v>
      </c>
      <c r="D32" s="2">
        <v>3</v>
      </c>
      <c r="E32" s="2" t="s">
        <v>28</v>
      </c>
      <c r="F32" s="2" t="s">
        <v>24</v>
      </c>
      <c r="G32" s="2" t="s">
        <v>27</v>
      </c>
      <c r="H32" s="2">
        <v>1.3</v>
      </c>
      <c r="I32" s="2">
        <v>-41.898299999999999</v>
      </c>
      <c r="J32" s="2">
        <v>4.9500000000000002E-2</v>
      </c>
      <c r="K32" s="2">
        <v>-0.09</v>
      </c>
      <c r="L32" s="2">
        <v>-3.8E-3</v>
      </c>
      <c r="M32" s="2">
        <v>-2.9399999999999999E-2</v>
      </c>
      <c r="N32" s="2">
        <v>-0.3634</v>
      </c>
      <c r="O32" s="2">
        <v>3</v>
      </c>
      <c r="P32" s="2">
        <v>1.3</v>
      </c>
      <c r="Q32" s="2"/>
      <c r="S32" s="17" t="s">
        <v>107</v>
      </c>
      <c r="T32" s="17" t="s">
        <v>22</v>
      </c>
      <c r="U32" s="27">
        <f>_xlfn.MAXIFS($J$4:$J$462,$C$4:$C$462,$S32,$E$4:$E$462,$T32)</f>
        <v>5.3400000000000003E-2</v>
      </c>
      <c r="V32" s="27">
        <f>_xlfn.MINIFS($J$4:$J$462,$C$4:$C$462,$S32,$E$4:$E$462,$T32)</f>
        <v>5.3400000000000003E-2</v>
      </c>
      <c r="W32" s="27">
        <f>_xlfn.MAXIFS($N$4:$N$462,$C$4:$C$462,$S32,$E$4:$E$462,$T32)</f>
        <v>7.5600000000000001E-2</v>
      </c>
      <c r="X32" s="27">
        <f>_xlfn.MINIFS($N$4:$N$462,$C$4:$C$462,$S32,$E$4:$E$462,$T32)</f>
        <v>1.23E-2</v>
      </c>
      <c r="Y32" s="27">
        <f>_xlfn.MAXIFS($I$4:$I$462,$C$4:$C$462,$S32,$E$4:$E$462,$T32)</f>
        <v>3.9399999999999998E-2</v>
      </c>
      <c r="Z32" s="27">
        <f>_xlfn.MINIFS($I$4:$I$462,$C$4:$C$462,$S32,$E$4:$E$462,$T32)</f>
        <v>3.9399999999999998E-2</v>
      </c>
    </row>
    <row r="33" spans="2:26" x14ac:dyDescent="0.3">
      <c r="B33" s="2">
        <v>-1</v>
      </c>
      <c r="C33" s="2" t="s">
        <v>23</v>
      </c>
      <c r="D33" s="2">
        <v>3</v>
      </c>
      <c r="E33" s="2" t="s">
        <v>28</v>
      </c>
      <c r="F33" s="2" t="s">
        <v>24</v>
      </c>
      <c r="G33" s="2" t="s">
        <v>27</v>
      </c>
      <c r="H33" s="2">
        <v>2.6</v>
      </c>
      <c r="I33" s="2">
        <v>-41.313299999999998</v>
      </c>
      <c r="J33" s="2">
        <v>4.9500000000000002E-2</v>
      </c>
      <c r="K33" s="2">
        <v>-0.09</v>
      </c>
      <c r="L33" s="2">
        <v>-3.8E-3</v>
      </c>
      <c r="M33" s="2">
        <v>-0.1197</v>
      </c>
      <c r="N33" s="2">
        <v>-1.3563000000000001</v>
      </c>
      <c r="O33" s="2">
        <v>3</v>
      </c>
      <c r="P33" s="2">
        <v>2.6</v>
      </c>
      <c r="Q33" s="2"/>
      <c r="S33" s="17" t="s">
        <v>108</v>
      </c>
      <c r="T33" s="17" t="s">
        <v>14</v>
      </c>
      <c r="U33" s="27">
        <f>_xlfn.MAXIFS($J$4:$J$462,$C$4:$C$462,$S33,$E$4:$E$462,$T33)</f>
        <v>-2.7568000000000001</v>
      </c>
      <c r="V33" s="27">
        <f>_xlfn.MINIFS($J$4:$J$462,$C$4:$C$462,$S33,$E$4:$E$462,$T33)</f>
        <v>-2.7568000000000001</v>
      </c>
      <c r="W33" s="27">
        <f>_xlfn.MAXIFS($N$4:$N$462,$C$4:$C$462,$S33,$E$4:$E$462,$T33)</f>
        <v>4.8795999999999999</v>
      </c>
      <c r="X33" s="27">
        <f>_xlfn.MINIFS($N$4:$N$462,$C$4:$C$462,$S33,$E$4:$E$462,$T33)</f>
        <v>-2.2881</v>
      </c>
      <c r="Y33" s="27">
        <f>_xlfn.MAXIFS($I$4:$I$462,$C$4:$C$462,$S33,$E$4:$E$462,$T33)</f>
        <v>-24.045999999999999</v>
      </c>
      <c r="Z33" s="27">
        <f>_xlfn.MINIFS($I$4:$I$462,$C$4:$C$462,$S33,$E$4:$E$462,$T33)</f>
        <v>-25.021000000000001</v>
      </c>
    </row>
    <row r="34" spans="2:26" x14ac:dyDescent="0.3">
      <c r="B34" s="2">
        <v>-1</v>
      </c>
      <c r="C34" s="2" t="s">
        <v>23</v>
      </c>
      <c r="D34" s="2">
        <v>3</v>
      </c>
      <c r="E34" s="2" t="s">
        <v>29</v>
      </c>
      <c r="F34" s="2" t="s">
        <v>24</v>
      </c>
      <c r="G34" s="2" t="s">
        <v>21</v>
      </c>
      <c r="H34" s="2">
        <v>0</v>
      </c>
      <c r="I34" s="2">
        <v>-42.235700000000001</v>
      </c>
      <c r="J34" s="2">
        <v>0.57099999999999995</v>
      </c>
      <c r="K34" s="2">
        <v>0.19259999999999999</v>
      </c>
      <c r="L34" s="2">
        <v>1.8E-3</v>
      </c>
      <c r="M34" s="2">
        <v>0.24110000000000001</v>
      </c>
      <c r="N34" s="2">
        <v>0.43090000000000001</v>
      </c>
      <c r="O34" s="2">
        <v>3</v>
      </c>
      <c r="P34" s="2">
        <v>0</v>
      </c>
      <c r="Q34" s="2"/>
      <c r="S34" s="17" t="s">
        <v>108</v>
      </c>
      <c r="T34" s="17" t="s">
        <v>18</v>
      </c>
      <c r="U34" s="27">
        <f>_xlfn.MAXIFS($J$4:$J$462,$C$4:$C$462,$S34,$E$4:$E$462,$T34)</f>
        <v>-2.5676000000000001</v>
      </c>
      <c r="V34" s="27">
        <f>_xlfn.MINIFS($J$4:$J$462,$C$4:$C$462,$S34,$E$4:$E$462,$T34)</f>
        <v>-2.5676000000000001</v>
      </c>
      <c r="W34" s="27">
        <f>_xlfn.MAXIFS($N$4:$N$462,$C$4:$C$462,$S34,$E$4:$E$462,$T34)</f>
        <v>4.5453000000000001</v>
      </c>
      <c r="X34" s="27">
        <f>_xlfn.MINIFS($N$4:$N$462,$C$4:$C$462,$S34,$E$4:$E$462,$T34)</f>
        <v>-2.1303999999999998</v>
      </c>
      <c r="Y34" s="27">
        <f>_xlfn.MAXIFS($I$4:$I$462,$C$4:$C$462,$S34,$E$4:$E$462,$T34)</f>
        <v>-20.985199999999999</v>
      </c>
      <c r="Z34" s="27">
        <f>_xlfn.MINIFS($I$4:$I$462,$C$4:$C$462,$S34,$E$4:$E$462,$T34)</f>
        <v>-20.985199999999999</v>
      </c>
    </row>
    <row r="35" spans="2:26" x14ac:dyDescent="0.3">
      <c r="B35" s="2">
        <v>-1</v>
      </c>
      <c r="C35" s="2" t="s">
        <v>23</v>
      </c>
      <c r="D35" s="2">
        <v>3</v>
      </c>
      <c r="E35" s="2" t="s">
        <v>29</v>
      </c>
      <c r="F35" s="2" t="s">
        <v>24</v>
      </c>
      <c r="G35" s="2" t="s">
        <v>21</v>
      </c>
      <c r="H35" s="2">
        <v>1.3</v>
      </c>
      <c r="I35" s="2">
        <v>-41.650700000000001</v>
      </c>
      <c r="J35" s="2">
        <v>0.57099999999999995</v>
      </c>
      <c r="K35" s="2">
        <v>0.19259999999999999</v>
      </c>
      <c r="L35" s="2">
        <v>1.8E-3</v>
      </c>
      <c r="M35" s="2">
        <v>-9.2999999999999992E-3</v>
      </c>
      <c r="N35" s="2">
        <v>-0.2349</v>
      </c>
      <c r="O35" s="2">
        <v>3</v>
      </c>
      <c r="P35" s="2">
        <v>1.3</v>
      </c>
      <c r="Q35" s="2"/>
      <c r="S35" s="17" t="s">
        <v>108</v>
      </c>
      <c r="T35" s="17" t="s">
        <v>19</v>
      </c>
      <c r="U35" s="27">
        <f>_xlfn.MAXIFS($J$4:$J$462,$C$4:$C$462,$S35,$E$4:$E$462,$T35)</f>
        <v>0.31140000000000001</v>
      </c>
      <c r="V35" s="27">
        <f>_xlfn.MINIFS($J$4:$J$462,$C$4:$C$462,$S35,$E$4:$E$462,$T35)</f>
        <v>0.31140000000000001</v>
      </c>
      <c r="W35" s="27">
        <f>_xlfn.MAXIFS($N$4:$N$462,$C$4:$C$462,$S35,$E$4:$E$462,$T35)</f>
        <v>0.47839999999999999</v>
      </c>
      <c r="X35" s="27">
        <f>_xlfn.MINIFS($N$4:$N$462,$C$4:$C$462,$S35,$E$4:$E$462,$T35)</f>
        <v>7.3599999999999999E-2</v>
      </c>
      <c r="Y35" s="27">
        <f>_xlfn.MAXIFS($I$4:$I$462,$C$4:$C$462,$S35,$E$4:$E$462,$T35)</f>
        <v>5.8500000000000003E-2</v>
      </c>
      <c r="Z35" s="27">
        <f>_xlfn.MINIFS($I$4:$I$462,$C$4:$C$462,$S35,$E$4:$E$462,$T35)</f>
        <v>5.8500000000000003E-2</v>
      </c>
    </row>
    <row r="36" spans="2:26" x14ac:dyDescent="0.3">
      <c r="B36" s="2">
        <v>-1</v>
      </c>
      <c r="C36" s="2" t="s">
        <v>23</v>
      </c>
      <c r="D36" s="2">
        <v>3</v>
      </c>
      <c r="E36" s="2" t="s">
        <v>29</v>
      </c>
      <c r="F36" s="2" t="s">
        <v>24</v>
      </c>
      <c r="G36" s="2" t="s">
        <v>21</v>
      </c>
      <c r="H36" s="2">
        <v>2.6</v>
      </c>
      <c r="I36" s="2">
        <v>-41.0657</v>
      </c>
      <c r="J36" s="2">
        <v>0.57099999999999995</v>
      </c>
      <c r="K36" s="2">
        <v>0.19259999999999999</v>
      </c>
      <c r="L36" s="2">
        <v>1.8E-3</v>
      </c>
      <c r="M36" s="2">
        <v>0.2387</v>
      </c>
      <c r="N36" s="2">
        <v>-0.72140000000000004</v>
      </c>
      <c r="O36" s="2">
        <v>3</v>
      </c>
      <c r="P36" s="2">
        <v>2.6</v>
      </c>
      <c r="Q36" s="2"/>
      <c r="S36" s="17" t="s">
        <v>108</v>
      </c>
      <c r="T36" s="17" t="s">
        <v>22</v>
      </c>
      <c r="U36" s="27">
        <f>_xlfn.MAXIFS($J$4:$J$462,$C$4:$C$462,$S36,$E$4:$E$462,$T36)</f>
        <v>3.9E-2</v>
      </c>
      <c r="V36" s="27">
        <f>_xlfn.MINIFS($J$4:$J$462,$C$4:$C$462,$S36,$E$4:$E$462,$T36)</f>
        <v>3.9E-2</v>
      </c>
      <c r="W36" s="27">
        <f>_xlfn.MAXIFS($N$4:$N$462,$C$4:$C$462,$S36,$E$4:$E$462,$T36)</f>
        <v>5.9200000000000003E-2</v>
      </c>
      <c r="X36" s="27">
        <f>_xlfn.MINIFS($N$4:$N$462,$C$4:$C$462,$S36,$E$4:$E$462,$T36)</f>
        <v>1.0800000000000001E-2</v>
      </c>
      <c r="Y36" s="27">
        <f>_xlfn.MAXIFS($I$4:$I$462,$C$4:$C$462,$S36,$E$4:$E$462,$T36)</f>
        <v>0.15</v>
      </c>
      <c r="Z36" s="27">
        <f>_xlfn.MINIFS($I$4:$I$462,$C$4:$C$462,$S36,$E$4:$E$462,$T36)</f>
        <v>0.15</v>
      </c>
    </row>
    <row r="37" spans="2:26" x14ac:dyDescent="0.3">
      <c r="B37" s="2">
        <v>-1</v>
      </c>
      <c r="C37" s="2" t="s">
        <v>23</v>
      </c>
      <c r="D37" s="2">
        <v>3</v>
      </c>
      <c r="E37" s="2" t="s">
        <v>29</v>
      </c>
      <c r="F37" s="2" t="s">
        <v>24</v>
      </c>
      <c r="G37" s="2" t="s">
        <v>27</v>
      </c>
      <c r="H37" s="2">
        <v>0</v>
      </c>
      <c r="I37" s="2">
        <v>-42.536900000000003</v>
      </c>
      <c r="J37" s="2">
        <v>0.35849999999999999</v>
      </c>
      <c r="K37" s="2">
        <v>-0.20930000000000001</v>
      </c>
      <c r="L37" s="2">
        <v>-2.0000000000000001E-4</v>
      </c>
      <c r="M37" s="2">
        <v>-0.30559999999999998</v>
      </c>
      <c r="N37" s="2">
        <v>0.2029</v>
      </c>
      <c r="O37" s="2">
        <v>3</v>
      </c>
      <c r="P37" s="2">
        <v>0</v>
      </c>
      <c r="Q37" s="2"/>
      <c r="S37" s="17" t="s">
        <v>109</v>
      </c>
      <c r="T37" s="17" t="s">
        <v>14</v>
      </c>
      <c r="U37" s="27">
        <f>_xlfn.MAXIFS($J$4:$J$462,$C$4:$C$462,$S37,$E$4:$E$462,$T37)</f>
        <v>-2.6909999999999998</v>
      </c>
      <c r="V37" s="27">
        <f>_xlfn.MINIFS($J$4:$J$462,$C$4:$C$462,$S37,$E$4:$E$462,$T37)</f>
        <v>-2.6909999999999998</v>
      </c>
      <c r="W37" s="27">
        <f>_xlfn.MAXIFS($N$4:$N$462,$C$4:$C$462,$S37,$E$4:$E$462,$T37)</f>
        <v>4.7652999999999999</v>
      </c>
      <c r="X37" s="27">
        <f>_xlfn.MINIFS($N$4:$N$462,$C$4:$C$462,$S37,$E$4:$E$462,$T37)</f>
        <v>-2.2311999999999999</v>
      </c>
      <c r="Y37" s="27">
        <f>_xlfn.MAXIFS($I$4:$I$462,$C$4:$C$462,$S37,$E$4:$E$462,$T37)</f>
        <v>-23.234400000000001</v>
      </c>
      <c r="Z37" s="27">
        <f>_xlfn.MINIFS($I$4:$I$462,$C$4:$C$462,$S37,$E$4:$E$462,$T37)</f>
        <v>-24.209399999999999</v>
      </c>
    </row>
    <row r="38" spans="2:26" x14ac:dyDescent="0.3">
      <c r="B38" s="2">
        <v>-1</v>
      </c>
      <c r="C38" s="2" t="s">
        <v>23</v>
      </c>
      <c r="D38" s="2">
        <v>3</v>
      </c>
      <c r="E38" s="2" t="s">
        <v>29</v>
      </c>
      <c r="F38" s="2" t="s">
        <v>24</v>
      </c>
      <c r="G38" s="2" t="s">
        <v>27</v>
      </c>
      <c r="H38" s="2">
        <v>1.3</v>
      </c>
      <c r="I38" s="2">
        <v>-41.951900000000002</v>
      </c>
      <c r="J38" s="2">
        <v>0.35849999999999999</v>
      </c>
      <c r="K38" s="2">
        <v>-0.20930000000000001</v>
      </c>
      <c r="L38" s="2">
        <v>-2.0000000000000001E-4</v>
      </c>
      <c r="M38" s="2">
        <v>-3.3500000000000002E-2</v>
      </c>
      <c r="N38" s="2">
        <v>-0.3397</v>
      </c>
      <c r="O38" s="2">
        <v>3</v>
      </c>
      <c r="P38" s="2">
        <v>1.3</v>
      </c>
      <c r="Q38" s="2"/>
      <c r="S38" s="17" t="s">
        <v>109</v>
      </c>
      <c r="T38" s="17" t="s">
        <v>18</v>
      </c>
      <c r="U38" s="27">
        <f>_xlfn.MAXIFS($J$4:$J$462,$C$4:$C$462,$S38,$E$4:$E$462,$T38)</f>
        <v>-2.5192999999999999</v>
      </c>
      <c r="V38" s="27">
        <f>_xlfn.MINIFS($J$4:$J$462,$C$4:$C$462,$S38,$E$4:$E$462,$T38)</f>
        <v>-2.5192999999999999</v>
      </c>
      <c r="W38" s="27">
        <f>_xlfn.MAXIFS($N$4:$N$462,$C$4:$C$462,$S38,$E$4:$E$462,$T38)</f>
        <v>4.4642999999999997</v>
      </c>
      <c r="X38" s="27">
        <f>_xlfn.MINIFS($N$4:$N$462,$C$4:$C$462,$S38,$E$4:$E$462,$T38)</f>
        <v>-2.0857999999999999</v>
      </c>
      <c r="Y38" s="27">
        <f>_xlfn.MAXIFS($I$4:$I$462,$C$4:$C$462,$S38,$E$4:$E$462,$T38)</f>
        <v>-20.081399999999999</v>
      </c>
      <c r="Z38" s="27">
        <f>_xlfn.MINIFS($I$4:$I$462,$C$4:$C$462,$S38,$E$4:$E$462,$T38)</f>
        <v>-20.081399999999999</v>
      </c>
    </row>
    <row r="39" spans="2:26" x14ac:dyDescent="0.3">
      <c r="B39" s="2">
        <v>-1</v>
      </c>
      <c r="C39" s="2" t="s">
        <v>23</v>
      </c>
      <c r="D39" s="2">
        <v>3</v>
      </c>
      <c r="E39" s="2" t="s">
        <v>29</v>
      </c>
      <c r="F39" s="2" t="s">
        <v>24</v>
      </c>
      <c r="G39" s="2" t="s">
        <v>27</v>
      </c>
      <c r="H39" s="2">
        <v>2.6</v>
      </c>
      <c r="I39" s="2">
        <v>-41.366900000000001</v>
      </c>
      <c r="J39" s="2">
        <v>0.35849999999999999</v>
      </c>
      <c r="K39" s="2">
        <v>-0.20930000000000001</v>
      </c>
      <c r="L39" s="2">
        <v>-2.0000000000000001E-4</v>
      </c>
      <c r="M39" s="2">
        <v>-0.25969999999999999</v>
      </c>
      <c r="N39" s="2">
        <v>-1.0613999999999999</v>
      </c>
      <c r="O39" s="2">
        <v>3</v>
      </c>
      <c r="P39" s="2">
        <v>2.6</v>
      </c>
      <c r="Q39" s="2"/>
      <c r="S39" s="17" t="s">
        <v>109</v>
      </c>
      <c r="T39" s="17" t="s">
        <v>19</v>
      </c>
      <c r="U39" s="27">
        <f>_xlfn.MAXIFS($J$4:$J$462,$C$4:$C$462,$S39,$E$4:$E$462,$T39)</f>
        <v>0.33090000000000003</v>
      </c>
      <c r="V39" s="27">
        <f>_xlfn.MINIFS($J$4:$J$462,$C$4:$C$462,$S39,$E$4:$E$462,$T39)</f>
        <v>0.33090000000000003</v>
      </c>
      <c r="W39" s="27">
        <f>_xlfn.MAXIFS($N$4:$N$462,$C$4:$C$462,$S39,$E$4:$E$462,$T39)</f>
        <v>0.51880000000000004</v>
      </c>
      <c r="X39" s="27">
        <f>_xlfn.MINIFS($N$4:$N$462,$C$4:$C$462,$S39,$E$4:$E$462,$T39)</f>
        <v>8.8599999999999998E-2</v>
      </c>
      <c r="Y39" s="27">
        <f>_xlfn.MAXIFS($I$4:$I$462,$C$4:$C$462,$S39,$E$4:$E$462,$T39)</f>
        <v>0.31430000000000002</v>
      </c>
      <c r="Z39" s="27">
        <f>_xlfn.MINIFS($I$4:$I$462,$C$4:$C$462,$S39,$E$4:$E$462,$T39)</f>
        <v>0.31430000000000002</v>
      </c>
    </row>
    <row r="40" spans="2:26" x14ac:dyDescent="0.3">
      <c r="B40" s="2">
        <v>-1</v>
      </c>
      <c r="C40" s="2" t="s">
        <v>23</v>
      </c>
      <c r="D40" s="2">
        <v>3</v>
      </c>
      <c r="E40" s="2" t="s">
        <v>30</v>
      </c>
      <c r="F40" s="2" t="s">
        <v>24</v>
      </c>
      <c r="G40" s="2" t="s">
        <v>21</v>
      </c>
      <c r="H40" s="2">
        <v>0</v>
      </c>
      <c r="I40" s="2">
        <v>-18.7529</v>
      </c>
      <c r="J40" s="2">
        <v>0.88</v>
      </c>
      <c r="K40" s="2">
        <v>0.1988</v>
      </c>
      <c r="L40" s="2">
        <v>5.4000000000000003E-3</v>
      </c>
      <c r="M40" s="2">
        <v>0.26129999999999998</v>
      </c>
      <c r="N40" s="2">
        <v>0.93189999999999995</v>
      </c>
      <c r="O40" s="2">
        <v>3</v>
      </c>
      <c r="P40" s="2">
        <v>0</v>
      </c>
      <c r="Q40" s="2"/>
      <c r="S40" s="17" t="s">
        <v>109</v>
      </c>
      <c r="T40" s="17" t="s">
        <v>22</v>
      </c>
      <c r="U40" s="27">
        <f>_xlfn.MAXIFS($J$4:$J$462,$C$4:$C$462,$S40,$E$4:$E$462,$T40)</f>
        <v>3.2099999999999997E-2</v>
      </c>
      <c r="V40" s="27">
        <f>_xlfn.MINIFS($J$4:$J$462,$C$4:$C$462,$S40,$E$4:$E$462,$T40)</f>
        <v>3.2099999999999997E-2</v>
      </c>
      <c r="W40" s="27">
        <f>_xlfn.MAXIFS($N$4:$N$462,$C$4:$C$462,$S40,$E$4:$E$462,$T40)</f>
        <v>5.1200000000000002E-2</v>
      </c>
      <c r="X40" s="27">
        <f>_xlfn.MINIFS($N$4:$N$462,$C$4:$C$462,$S40,$E$4:$E$462,$T40)</f>
        <v>9.4999999999999998E-3</v>
      </c>
      <c r="Y40" s="27">
        <f>_xlfn.MAXIFS($I$4:$I$462,$C$4:$C$462,$S40,$E$4:$E$462,$T40)</f>
        <v>0.56269999999999998</v>
      </c>
      <c r="Z40" s="27">
        <f>_xlfn.MINIFS($I$4:$I$462,$C$4:$C$462,$S40,$E$4:$E$462,$T40)</f>
        <v>0.56269999999999998</v>
      </c>
    </row>
    <row r="41" spans="2:26" x14ac:dyDescent="0.3">
      <c r="B41" s="2">
        <v>-1</v>
      </c>
      <c r="C41" s="2" t="s">
        <v>23</v>
      </c>
      <c r="D41" s="2">
        <v>3</v>
      </c>
      <c r="E41" s="2" t="s">
        <v>30</v>
      </c>
      <c r="F41" s="2" t="s">
        <v>24</v>
      </c>
      <c r="G41" s="2" t="s">
        <v>21</v>
      </c>
      <c r="H41" s="2">
        <v>1.3</v>
      </c>
      <c r="I41" s="2">
        <v>-18.3142</v>
      </c>
      <c r="J41" s="2">
        <v>0.88</v>
      </c>
      <c r="K41" s="2">
        <v>0.1988</v>
      </c>
      <c r="L41" s="2">
        <v>5.4000000000000003E-3</v>
      </c>
      <c r="M41" s="2">
        <v>3.0000000000000001E-3</v>
      </c>
      <c r="N41" s="2">
        <v>-4.53E-2</v>
      </c>
      <c r="O41" s="2">
        <v>3</v>
      </c>
      <c r="P41" s="2">
        <v>1.3</v>
      </c>
      <c r="Q41" s="2"/>
    </row>
    <row r="42" spans="2:26" x14ac:dyDescent="0.3">
      <c r="B42" s="2">
        <v>-1</v>
      </c>
      <c r="C42" s="2" t="s">
        <v>23</v>
      </c>
      <c r="D42" s="2">
        <v>3</v>
      </c>
      <c r="E42" s="2" t="s">
        <v>30</v>
      </c>
      <c r="F42" s="2" t="s">
        <v>24</v>
      </c>
      <c r="G42" s="2" t="s">
        <v>21</v>
      </c>
      <c r="H42" s="2">
        <v>2.6</v>
      </c>
      <c r="I42" s="2">
        <v>-17.875399999999999</v>
      </c>
      <c r="J42" s="2">
        <v>0.88</v>
      </c>
      <c r="K42" s="2">
        <v>0.1988</v>
      </c>
      <c r="L42" s="2">
        <v>5.4000000000000003E-3</v>
      </c>
      <c r="M42" s="2">
        <v>0.2429</v>
      </c>
      <c r="N42" s="2">
        <v>8.5999999999999993E-2</v>
      </c>
      <c r="O42" s="2">
        <v>3</v>
      </c>
      <c r="P42" s="2">
        <v>2.6</v>
      </c>
      <c r="Q42" s="2"/>
    </row>
    <row r="43" spans="2:26" x14ac:dyDescent="0.3">
      <c r="B43" s="2">
        <v>-1</v>
      </c>
      <c r="C43" s="2" t="s">
        <v>23</v>
      </c>
      <c r="D43" s="2">
        <v>3</v>
      </c>
      <c r="E43" s="2" t="s">
        <v>30</v>
      </c>
      <c r="F43" s="2" t="s">
        <v>24</v>
      </c>
      <c r="G43" s="2" t="s">
        <v>27</v>
      </c>
      <c r="H43" s="2">
        <v>0</v>
      </c>
      <c r="I43" s="2">
        <v>-52.695300000000003</v>
      </c>
      <c r="J43" s="2">
        <v>-0.2172</v>
      </c>
      <c r="K43" s="2">
        <v>-0.20930000000000001</v>
      </c>
      <c r="L43" s="2">
        <v>-4.4000000000000003E-3</v>
      </c>
      <c r="M43" s="2">
        <v>-0.30559999999999998</v>
      </c>
      <c r="N43" s="2">
        <v>-0.47889999999999999</v>
      </c>
      <c r="O43" s="2">
        <v>3</v>
      </c>
      <c r="P43" s="2">
        <v>0</v>
      </c>
      <c r="Q43" s="2"/>
    </row>
    <row r="44" spans="2:26" x14ac:dyDescent="0.3">
      <c r="B44" s="2">
        <v>-1</v>
      </c>
      <c r="C44" s="2" t="s">
        <v>23</v>
      </c>
      <c r="D44" s="2">
        <v>3</v>
      </c>
      <c r="E44" s="2" t="s">
        <v>30</v>
      </c>
      <c r="F44" s="2" t="s">
        <v>24</v>
      </c>
      <c r="G44" s="2" t="s">
        <v>27</v>
      </c>
      <c r="H44" s="2">
        <v>1.3</v>
      </c>
      <c r="I44" s="2">
        <v>-52.110300000000002</v>
      </c>
      <c r="J44" s="2">
        <v>-0.2172</v>
      </c>
      <c r="K44" s="2">
        <v>-0.20930000000000001</v>
      </c>
      <c r="L44" s="2">
        <v>-4.4000000000000003E-3</v>
      </c>
      <c r="M44" s="2">
        <v>-3.3500000000000002E-2</v>
      </c>
      <c r="N44" s="2">
        <v>-0.3634</v>
      </c>
      <c r="O44" s="2">
        <v>3</v>
      </c>
      <c r="P44" s="2">
        <v>1.3</v>
      </c>
      <c r="Q44" s="2"/>
    </row>
    <row r="45" spans="2:26" x14ac:dyDescent="0.3">
      <c r="B45" s="2">
        <v>-1</v>
      </c>
      <c r="C45" s="2" t="s">
        <v>23</v>
      </c>
      <c r="D45" s="2">
        <v>3</v>
      </c>
      <c r="E45" s="2" t="s">
        <v>30</v>
      </c>
      <c r="F45" s="2" t="s">
        <v>24</v>
      </c>
      <c r="G45" s="2" t="s">
        <v>27</v>
      </c>
      <c r="H45" s="2">
        <v>2.6</v>
      </c>
      <c r="I45" s="2">
        <v>-51.525300000000001</v>
      </c>
      <c r="J45" s="2">
        <v>-0.2172</v>
      </c>
      <c r="K45" s="2">
        <v>-0.20930000000000001</v>
      </c>
      <c r="L45" s="2">
        <v>-4.4000000000000003E-3</v>
      </c>
      <c r="M45" s="2">
        <v>-0.25969999999999999</v>
      </c>
      <c r="N45" s="2">
        <v>-1.3563000000000001</v>
      </c>
      <c r="O45" s="2">
        <v>3</v>
      </c>
      <c r="P45" s="2">
        <v>2.6</v>
      </c>
      <c r="Q45" s="2"/>
    </row>
    <row r="46" spans="2:26" x14ac:dyDescent="0.3">
      <c r="B46" s="2">
        <v>-1</v>
      </c>
      <c r="C46" s="2" t="s">
        <v>23</v>
      </c>
      <c r="D46" s="2">
        <v>3</v>
      </c>
      <c r="E46" s="2" t="s">
        <v>31</v>
      </c>
      <c r="F46" s="2" t="s">
        <v>24</v>
      </c>
      <c r="G46" s="2" t="s">
        <v>21</v>
      </c>
      <c r="H46" s="2">
        <v>0</v>
      </c>
      <c r="I46" s="2">
        <v>-18.7529</v>
      </c>
      <c r="J46" s="2">
        <v>0.30430000000000001</v>
      </c>
      <c r="K46" s="2">
        <v>0.1988</v>
      </c>
      <c r="L46" s="2">
        <v>1.2999999999999999E-3</v>
      </c>
      <c r="M46" s="2">
        <v>0.26129999999999998</v>
      </c>
      <c r="N46" s="2">
        <v>0.25009999999999999</v>
      </c>
      <c r="O46" s="2">
        <v>3</v>
      </c>
      <c r="P46" s="2">
        <v>0</v>
      </c>
      <c r="Q46" s="2"/>
    </row>
    <row r="47" spans="2:26" x14ac:dyDescent="0.3">
      <c r="B47" s="2">
        <v>-1</v>
      </c>
      <c r="C47" s="2" t="s">
        <v>23</v>
      </c>
      <c r="D47" s="2">
        <v>3</v>
      </c>
      <c r="E47" s="2" t="s">
        <v>31</v>
      </c>
      <c r="F47" s="2" t="s">
        <v>24</v>
      </c>
      <c r="G47" s="2" t="s">
        <v>21</v>
      </c>
      <c r="H47" s="2">
        <v>1.3</v>
      </c>
      <c r="I47" s="2">
        <v>-18.3142</v>
      </c>
      <c r="J47" s="2">
        <v>0.30430000000000001</v>
      </c>
      <c r="K47" s="2">
        <v>0.1988</v>
      </c>
      <c r="L47" s="2">
        <v>1.2999999999999999E-3</v>
      </c>
      <c r="M47" s="2">
        <v>3.0000000000000001E-3</v>
      </c>
      <c r="N47" s="2">
        <v>-6.9000000000000006E-2</v>
      </c>
      <c r="O47" s="2">
        <v>3</v>
      </c>
      <c r="P47" s="2">
        <v>1.3</v>
      </c>
      <c r="Q47" s="2"/>
    </row>
    <row r="48" spans="2:26" x14ac:dyDescent="0.3">
      <c r="B48" s="2">
        <v>-1</v>
      </c>
      <c r="C48" s="2" t="s">
        <v>23</v>
      </c>
      <c r="D48" s="2">
        <v>3</v>
      </c>
      <c r="E48" s="2" t="s">
        <v>31</v>
      </c>
      <c r="F48" s="2" t="s">
        <v>24</v>
      </c>
      <c r="G48" s="2" t="s">
        <v>21</v>
      </c>
      <c r="H48" s="2">
        <v>2.6</v>
      </c>
      <c r="I48" s="2">
        <v>-17.875399999999999</v>
      </c>
      <c r="J48" s="2">
        <v>0.30430000000000001</v>
      </c>
      <c r="K48" s="2">
        <v>0.1988</v>
      </c>
      <c r="L48" s="2">
        <v>1.2999999999999999E-3</v>
      </c>
      <c r="M48" s="2">
        <v>0.2429</v>
      </c>
      <c r="N48" s="2">
        <v>-0.2089</v>
      </c>
      <c r="O48" s="2">
        <v>3</v>
      </c>
      <c r="P48" s="2">
        <v>2.6</v>
      </c>
      <c r="Q48" s="2"/>
    </row>
    <row r="49" spans="2:17" x14ac:dyDescent="0.3">
      <c r="B49" s="2">
        <v>-1</v>
      </c>
      <c r="C49" s="2" t="s">
        <v>23</v>
      </c>
      <c r="D49" s="2">
        <v>3</v>
      </c>
      <c r="E49" s="2" t="s">
        <v>31</v>
      </c>
      <c r="F49" s="2" t="s">
        <v>24</v>
      </c>
      <c r="G49" s="2" t="s">
        <v>27</v>
      </c>
      <c r="H49" s="2">
        <v>0</v>
      </c>
      <c r="I49" s="2">
        <v>-19.054200000000002</v>
      </c>
      <c r="J49" s="2">
        <v>9.1899999999999996E-2</v>
      </c>
      <c r="K49" s="2">
        <v>-0.20319999999999999</v>
      </c>
      <c r="L49" s="2">
        <v>-8.0000000000000004E-4</v>
      </c>
      <c r="M49" s="2">
        <v>-0.28539999999999999</v>
      </c>
      <c r="N49" s="2">
        <v>2.2100000000000002E-2</v>
      </c>
      <c r="O49" s="2">
        <v>3</v>
      </c>
      <c r="P49" s="2">
        <v>0</v>
      </c>
      <c r="Q49" s="2"/>
    </row>
    <row r="50" spans="2:17" x14ac:dyDescent="0.3">
      <c r="B50" s="2">
        <v>-1</v>
      </c>
      <c r="C50" s="2" t="s">
        <v>23</v>
      </c>
      <c r="D50" s="2">
        <v>3</v>
      </c>
      <c r="E50" s="2" t="s">
        <v>31</v>
      </c>
      <c r="F50" s="2" t="s">
        <v>24</v>
      </c>
      <c r="G50" s="2" t="s">
        <v>27</v>
      </c>
      <c r="H50" s="2">
        <v>1.3</v>
      </c>
      <c r="I50" s="2">
        <v>-18.615400000000001</v>
      </c>
      <c r="J50" s="2">
        <v>9.1899999999999996E-2</v>
      </c>
      <c r="K50" s="2">
        <v>-0.20319999999999999</v>
      </c>
      <c r="L50" s="2">
        <v>-8.0000000000000004E-4</v>
      </c>
      <c r="M50" s="2">
        <v>-2.1299999999999999E-2</v>
      </c>
      <c r="N50" s="2">
        <v>-0.17380000000000001</v>
      </c>
      <c r="O50" s="2">
        <v>3</v>
      </c>
      <c r="P50" s="2">
        <v>1.3</v>
      </c>
      <c r="Q50" s="2"/>
    </row>
    <row r="51" spans="2:17" x14ac:dyDescent="0.3">
      <c r="B51" s="2">
        <v>-1</v>
      </c>
      <c r="C51" s="2" t="s">
        <v>23</v>
      </c>
      <c r="D51" s="2">
        <v>3</v>
      </c>
      <c r="E51" s="2" t="s">
        <v>31</v>
      </c>
      <c r="F51" s="2" t="s">
        <v>24</v>
      </c>
      <c r="G51" s="2" t="s">
        <v>27</v>
      </c>
      <c r="H51" s="2">
        <v>2.6</v>
      </c>
      <c r="I51" s="2">
        <v>-18.1767</v>
      </c>
      <c r="J51" s="2">
        <v>9.1899999999999996E-2</v>
      </c>
      <c r="K51" s="2">
        <v>-0.20319999999999999</v>
      </c>
      <c r="L51" s="2">
        <v>-8.0000000000000004E-4</v>
      </c>
      <c r="M51" s="2">
        <v>-0.2555</v>
      </c>
      <c r="N51" s="2">
        <v>-0.54890000000000005</v>
      </c>
      <c r="O51" s="2">
        <v>3</v>
      </c>
      <c r="P51" s="2">
        <v>2.6</v>
      </c>
      <c r="Q51" s="2"/>
    </row>
    <row r="52" spans="2:17" x14ac:dyDescent="0.3">
      <c r="B52" s="2">
        <v>-1</v>
      </c>
      <c r="C52" s="2" t="s">
        <v>23</v>
      </c>
      <c r="D52" s="2">
        <v>3</v>
      </c>
      <c r="E52" s="2" t="s">
        <v>32</v>
      </c>
      <c r="F52" s="2" t="s">
        <v>24</v>
      </c>
      <c r="G52" s="2"/>
      <c r="H52" s="2">
        <v>0</v>
      </c>
      <c r="I52" s="2">
        <v>-38.185499999999998</v>
      </c>
      <c r="J52" s="2">
        <v>0.42070000000000002</v>
      </c>
      <c r="K52" s="2">
        <v>-7.9000000000000008E-3</v>
      </c>
      <c r="L52" s="2">
        <v>8.0000000000000004E-4</v>
      </c>
      <c r="M52" s="2">
        <v>-2.9600000000000001E-2</v>
      </c>
      <c r="N52" s="2">
        <v>0.28670000000000001</v>
      </c>
      <c r="O52" s="2">
        <v>3</v>
      </c>
      <c r="P52" s="2">
        <v>0</v>
      </c>
      <c r="Q52" s="2"/>
    </row>
    <row r="53" spans="2:17" x14ac:dyDescent="0.3">
      <c r="B53" s="2">
        <v>-1</v>
      </c>
      <c r="C53" s="2" t="s">
        <v>23</v>
      </c>
      <c r="D53" s="2">
        <v>3</v>
      </c>
      <c r="E53" s="2" t="s">
        <v>32</v>
      </c>
      <c r="F53" s="2" t="s">
        <v>24</v>
      </c>
      <c r="G53" s="2"/>
      <c r="H53" s="2">
        <v>1.3</v>
      </c>
      <c r="I53" s="2">
        <v>-37.698</v>
      </c>
      <c r="J53" s="2">
        <v>0.42070000000000002</v>
      </c>
      <c r="K53" s="2">
        <v>-7.9000000000000008E-3</v>
      </c>
      <c r="L53" s="2">
        <v>8.0000000000000004E-4</v>
      </c>
      <c r="M53" s="2">
        <v>-1.9300000000000001E-2</v>
      </c>
      <c r="N53" s="2">
        <v>-0.26029999999999998</v>
      </c>
      <c r="O53" s="2">
        <v>3</v>
      </c>
      <c r="P53" s="2">
        <v>1.3</v>
      </c>
      <c r="Q53" s="2"/>
    </row>
    <row r="54" spans="2:17" x14ac:dyDescent="0.3">
      <c r="B54" s="2">
        <v>-1</v>
      </c>
      <c r="C54" s="2" t="s">
        <v>23</v>
      </c>
      <c r="D54" s="2">
        <v>3</v>
      </c>
      <c r="E54" s="2" t="s">
        <v>32</v>
      </c>
      <c r="F54" s="2" t="s">
        <v>24</v>
      </c>
      <c r="G54" s="2"/>
      <c r="H54" s="2">
        <v>2.6</v>
      </c>
      <c r="I54" s="2">
        <v>-37.210500000000003</v>
      </c>
      <c r="J54" s="2">
        <v>0.42070000000000002</v>
      </c>
      <c r="K54" s="2">
        <v>-7.9000000000000008E-3</v>
      </c>
      <c r="L54" s="2">
        <v>8.0000000000000004E-4</v>
      </c>
      <c r="M54" s="2">
        <v>-9.1000000000000004E-3</v>
      </c>
      <c r="N54" s="2">
        <v>-0.80720000000000003</v>
      </c>
      <c r="O54" s="2">
        <v>3</v>
      </c>
      <c r="P54" s="2">
        <v>2.6</v>
      </c>
      <c r="Q54" s="2"/>
    </row>
    <row r="55" spans="2:17" x14ac:dyDescent="0.3">
      <c r="B55" s="2">
        <v>-1</v>
      </c>
      <c r="C55" s="2" t="s">
        <v>25</v>
      </c>
      <c r="D55" s="2">
        <v>55</v>
      </c>
      <c r="E55" s="2" t="s">
        <v>14</v>
      </c>
      <c r="F55" s="2" t="s">
        <v>15</v>
      </c>
      <c r="G55" s="2"/>
      <c r="H55" s="2">
        <v>0</v>
      </c>
      <c r="I55" s="2">
        <v>-20.445499999999999</v>
      </c>
      <c r="J55" s="2">
        <v>0.68810000000000004</v>
      </c>
      <c r="K55" s="2">
        <v>-0.22109999999999999</v>
      </c>
      <c r="L55" s="2">
        <v>2.9999999999999997E-4</v>
      </c>
      <c r="M55" s="2">
        <v>-0.19919999999999999</v>
      </c>
      <c r="N55" s="2">
        <v>0.53849999999999998</v>
      </c>
      <c r="O55" s="2">
        <v>55</v>
      </c>
      <c r="P55" s="2">
        <v>0</v>
      </c>
      <c r="Q55" s="2"/>
    </row>
    <row r="56" spans="2:17" x14ac:dyDescent="0.3">
      <c r="B56" s="2">
        <v>-1</v>
      </c>
      <c r="C56" s="2" t="s">
        <v>25</v>
      </c>
      <c r="D56" s="2">
        <v>55</v>
      </c>
      <c r="E56" s="2" t="s">
        <v>14</v>
      </c>
      <c r="F56" s="2" t="s">
        <v>15</v>
      </c>
      <c r="G56" s="2"/>
      <c r="H56" s="2">
        <v>1.3</v>
      </c>
      <c r="I56" s="2">
        <v>-19.957999999999998</v>
      </c>
      <c r="J56" s="2">
        <v>0.68810000000000004</v>
      </c>
      <c r="K56" s="2">
        <v>-0.22109999999999999</v>
      </c>
      <c r="L56" s="2">
        <v>2.9999999999999997E-4</v>
      </c>
      <c r="M56" s="2">
        <v>8.8200000000000001E-2</v>
      </c>
      <c r="N56" s="2">
        <v>-0.35610000000000003</v>
      </c>
      <c r="O56" s="2">
        <v>55</v>
      </c>
      <c r="P56" s="2">
        <v>1.3</v>
      </c>
      <c r="Q56" s="2"/>
    </row>
    <row r="57" spans="2:17" x14ac:dyDescent="0.3">
      <c r="B57" s="2">
        <v>-1</v>
      </c>
      <c r="C57" s="2" t="s">
        <v>25</v>
      </c>
      <c r="D57" s="2">
        <v>55</v>
      </c>
      <c r="E57" s="2" t="s">
        <v>14</v>
      </c>
      <c r="F57" s="2" t="s">
        <v>15</v>
      </c>
      <c r="G57" s="2"/>
      <c r="H57" s="2">
        <v>2.6</v>
      </c>
      <c r="I57" s="2">
        <v>-19.470500000000001</v>
      </c>
      <c r="J57" s="2">
        <v>0.68810000000000004</v>
      </c>
      <c r="K57" s="2">
        <v>-0.22109999999999999</v>
      </c>
      <c r="L57" s="2">
        <v>2.9999999999999997E-4</v>
      </c>
      <c r="M57" s="2">
        <v>0.37559999999999999</v>
      </c>
      <c r="N57" s="2">
        <v>-1.2505999999999999</v>
      </c>
      <c r="O57" s="2">
        <v>55</v>
      </c>
      <c r="P57" s="2">
        <v>2.6</v>
      </c>
      <c r="Q57" s="2"/>
    </row>
    <row r="58" spans="2:17" x14ac:dyDescent="0.3">
      <c r="B58" s="2">
        <v>-1</v>
      </c>
      <c r="C58" s="2" t="s">
        <v>25</v>
      </c>
      <c r="D58" s="2">
        <v>55</v>
      </c>
      <c r="E58" s="2" t="s">
        <v>18</v>
      </c>
      <c r="F58" s="2" t="s">
        <v>15</v>
      </c>
      <c r="G58" s="2"/>
      <c r="H58" s="2">
        <v>0</v>
      </c>
      <c r="I58" s="2">
        <v>-16.700700000000001</v>
      </c>
      <c r="J58" s="2">
        <v>0.64270000000000005</v>
      </c>
      <c r="K58" s="2">
        <v>-0.20250000000000001</v>
      </c>
      <c r="L58" s="2">
        <v>5.0000000000000001E-4</v>
      </c>
      <c r="M58" s="2">
        <v>-0.1837</v>
      </c>
      <c r="N58" s="2">
        <v>0.50370000000000004</v>
      </c>
      <c r="O58" s="2">
        <v>55</v>
      </c>
      <c r="P58" s="2">
        <v>0</v>
      </c>
      <c r="Q58" s="2"/>
    </row>
    <row r="59" spans="2:17" x14ac:dyDescent="0.3">
      <c r="B59" s="2">
        <v>-1</v>
      </c>
      <c r="C59" s="2" t="s">
        <v>25</v>
      </c>
      <c r="D59" s="2">
        <v>55</v>
      </c>
      <c r="E59" s="2" t="s">
        <v>18</v>
      </c>
      <c r="F59" s="2" t="s">
        <v>15</v>
      </c>
      <c r="G59" s="2"/>
      <c r="H59" s="2">
        <v>1.3</v>
      </c>
      <c r="I59" s="2">
        <v>-16.700700000000001</v>
      </c>
      <c r="J59" s="2">
        <v>0.64270000000000005</v>
      </c>
      <c r="K59" s="2">
        <v>-0.20250000000000001</v>
      </c>
      <c r="L59" s="2">
        <v>5.0000000000000001E-4</v>
      </c>
      <c r="M59" s="2">
        <v>7.9500000000000001E-2</v>
      </c>
      <c r="N59" s="2">
        <v>-0.33179999999999998</v>
      </c>
      <c r="O59" s="2">
        <v>55</v>
      </c>
      <c r="P59" s="2">
        <v>1.3</v>
      </c>
      <c r="Q59" s="2"/>
    </row>
    <row r="60" spans="2:17" x14ac:dyDescent="0.3">
      <c r="B60" s="2">
        <v>-1</v>
      </c>
      <c r="C60" s="2" t="s">
        <v>25</v>
      </c>
      <c r="D60" s="2">
        <v>55</v>
      </c>
      <c r="E60" s="2" t="s">
        <v>18</v>
      </c>
      <c r="F60" s="2" t="s">
        <v>15</v>
      </c>
      <c r="G60" s="2"/>
      <c r="H60" s="2">
        <v>2.6</v>
      </c>
      <c r="I60" s="2">
        <v>-16.700700000000001</v>
      </c>
      <c r="J60" s="2">
        <v>0.64270000000000005</v>
      </c>
      <c r="K60" s="2">
        <v>-0.20250000000000001</v>
      </c>
      <c r="L60" s="2">
        <v>5.0000000000000001E-4</v>
      </c>
      <c r="M60" s="2">
        <v>0.3427</v>
      </c>
      <c r="N60" s="2">
        <v>-1.1673</v>
      </c>
      <c r="O60" s="2">
        <v>55</v>
      </c>
      <c r="P60" s="2">
        <v>2.6</v>
      </c>
      <c r="Q60" s="2"/>
    </row>
    <row r="61" spans="2:17" x14ac:dyDescent="0.3">
      <c r="B61" s="2">
        <v>-1</v>
      </c>
      <c r="C61" s="2" t="s">
        <v>25</v>
      </c>
      <c r="D61" s="2">
        <v>55</v>
      </c>
      <c r="E61" s="2" t="s">
        <v>19</v>
      </c>
      <c r="F61" s="2" t="s">
        <v>20</v>
      </c>
      <c r="G61" s="2" t="s">
        <v>21</v>
      </c>
      <c r="H61" s="2">
        <v>0</v>
      </c>
      <c r="I61" s="2">
        <v>0.1062</v>
      </c>
      <c r="J61" s="2">
        <v>0.33639999999999998</v>
      </c>
      <c r="K61" s="2">
        <v>3.27E-2</v>
      </c>
      <c r="L61" s="2">
        <v>3.3E-3</v>
      </c>
      <c r="M61" s="2">
        <v>5.1999999999999998E-2</v>
      </c>
      <c r="N61" s="2">
        <v>0.49859999999999999</v>
      </c>
      <c r="O61" s="2">
        <v>55</v>
      </c>
      <c r="P61" s="2">
        <v>0</v>
      </c>
      <c r="Q61" s="2"/>
    </row>
    <row r="62" spans="2:17" x14ac:dyDescent="0.3">
      <c r="B62" s="2">
        <v>-1</v>
      </c>
      <c r="C62" s="2" t="s">
        <v>25</v>
      </c>
      <c r="D62" s="2">
        <v>55</v>
      </c>
      <c r="E62" s="2" t="s">
        <v>19</v>
      </c>
      <c r="F62" s="2" t="s">
        <v>20</v>
      </c>
      <c r="G62" s="2" t="s">
        <v>21</v>
      </c>
      <c r="H62" s="2">
        <v>1.3</v>
      </c>
      <c r="I62" s="2">
        <v>0.1062</v>
      </c>
      <c r="J62" s="2">
        <v>0.33639999999999998</v>
      </c>
      <c r="K62" s="2">
        <v>3.27E-2</v>
      </c>
      <c r="L62" s="2">
        <v>3.3E-3</v>
      </c>
      <c r="M62" s="2">
        <v>9.9000000000000008E-3</v>
      </c>
      <c r="N62" s="2">
        <v>6.3E-2</v>
      </c>
      <c r="O62" s="2">
        <v>55</v>
      </c>
      <c r="P62" s="2">
        <v>1.3</v>
      </c>
      <c r="Q62" s="2"/>
    </row>
    <row r="63" spans="2:17" x14ac:dyDescent="0.3">
      <c r="B63" s="2">
        <v>-1</v>
      </c>
      <c r="C63" s="2" t="s">
        <v>25</v>
      </c>
      <c r="D63" s="2">
        <v>55</v>
      </c>
      <c r="E63" s="2" t="s">
        <v>19</v>
      </c>
      <c r="F63" s="2" t="s">
        <v>20</v>
      </c>
      <c r="G63" s="2" t="s">
        <v>21</v>
      </c>
      <c r="H63" s="2">
        <v>2.6</v>
      </c>
      <c r="I63" s="2">
        <v>0.1062</v>
      </c>
      <c r="J63" s="2">
        <v>0.33639999999999998</v>
      </c>
      <c r="K63" s="2">
        <v>3.27E-2</v>
      </c>
      <c r="L63" s="2">
        <v>3.3E-3</v>
      </c>
      <c r="M63" s="2">
        <v>3.3300000000000003E-2</v>
      </c>
      <c r="N63" s="2">
        <v>0.37640000000000001</v>
      </c>
      <c r="O63" s="2">
        <v>55</v>
      </c>
      <c r="P63" s="2">
        <v>2.6</v>
      </c>
      <c r="Q63" s="2"/>
    </row>
    <row r="64" spans="2:17" x14ac:dyDescent="0.3">
      <c r="B64" s="2">
        <v>-1</v>
      </c>
      <c r="C64" s="2" t="s">
        <v>25</v>
      </c>
      <c r="D64" s="2">
        <v>55</v>
      </c>
      <c r="E64" s="2" t="s">
        <v>22</v>
      </c>
      <c r="F64" s="2" t="s">
        <v>20</v>
      </c>
      <c r="G64" s="2" t="s">
        <v>21</v>
      </c>
      <c r="H64" s="2">
        <v>0</v>
      </c>
      <c r="I64" s="2">
        <v>0.22270000000000001</v>
      </c>
      <c r="J64" s="2">
        <v>0.113</v>
      </c>
      <c r="K64" s="2">
        <v>0.1198</v>
      </c>
      <c r="L64" s="2">
        <v>6.9999999999999999E-4</v>
      </c>
      <c r="M64" s="2">
        <v>0.17499999999999999</v>
      </c>
      <c r="N64" s="2">
        <v>0.10829999999999999</v>
      </c>
      <c r="O64" s="2">
        <v>55</v>
      </c>
      <c r="P64" s="2">
        <v>0</v>
      </c>
      <c r="Q64" s="2"/>
    </row>
    <row r="65" spans="2:17" x14ac:dyDescent="0.3">
      <c r="B65" s="2">
        <v>-1</v>
      </c>
      <c r="C65" s="2" t="s">
        <v>25</v>
      </c>
      <c r="D65" s="2">
        <v>55</v>
      </c>
      <c r="E65" s="2" t="s">
        <v>22</v>
      </c>
      <c r="F65" s="2" t="s">
        <v>20</v>
      </c>
      <c r="G65" s="2" t="s">
        <v>21</v>
      </c>
      <c r="H65" s="2">
        <v>1.3</v>
      </c>
      <c r="I65" s="2">
        <v>0.22270000000000001</v>
      </c>
      <c r="J65" s="2">
        <v>0.113</v>
      </c>
      <c r="K65" s="2">
        <v>0.1198</v>
      </c>
      <c r="L65" s="2">
        <v>6.9999999999999999E-4</v>
      </c>
      <c r="M65" s="2">
        <v>1.9400000000000001E-2</v>
      </c>
      <c r="N65" s="2">
        <v>5.2999999999999999E-2</v>
      </c>
      <c r="O65" s="2">
        <v>55</v>
      </c>
      <c r="P65" s="2">
        <v>1.3</v>
      </c>
      <c r="Q65" s="2"/>
    </row>
    <row r="66" spans="2:17" x14ac:dyDescent="0.3">
      <c r="B66" s="2">
        <v>-1</v>
      </c>
      <c r="C66" s="2" t="s">
        <v>25</v>
      </c>
      <c r="D66" s="2">
        <v>55</v>
      </c>
      <c r="E66" s="2" t="s">
        <v>22</v>
      </c>
      <c r="F66" s="2" t="s">
        <v>20</v>
      </c>
      <c r="G66" s="2" t="s">
        <v>21</v>
      </c>
      <c r="H66" s="2">
        <v>2.6</v>
      </c>
      <c r="I66" s="2">
        <v>0.22270000000000001</v>
      </c>
      <c r="J66" s="2">
        <v>0.113</v>
      </c>
      <c r="K66" s="2">
        <v>0.1198</v>
      </c>
      <c r="L66" s="2">
        <v>6.9999999999999999E-4</v>
      </c>
      <c r="M66" s="2">
        <v>0.1366</v>
      </c>
      <c r="N66" s="2">
        <v>0.188</v>
      </c>
      <c r="O66" s="2">
        <v>55</v>
      </c>
      <c r="P66" s="2">
        <v>2.6</v>
      </c>
      <c r="Q66" s="2"/>
    </row>
    <row r="67" spans="2:17" x14ac:dyDescent="0.3">
      <c r="B67" s="2">
        <v>-1</v>
      </c>
      <c r="C67" s="2" t="s">
        <v>25</v>
      </c>
      <c r="D67" s="2">
        <v>55</v>
      </c>
      <c r="E67" s="2" t="s">
        <v>23</v>
      </c>
      <c r="F67" s="2" t="s">
        <v>24</v>
      </c>
      <c r="G67" s="2"/>
      <c r="H67" s="2">
        <v>0</v>
      </c>
      <c r="I67" s="2">
        <v>-28.623799999999999</v>
      </c>
      <c r="J67" s="2">
        <v>0.96340000000000003</v>
      </c>
      <c r="K67" s="2">
        <v>-0.3095</v>
      </c>
      <c r="L67" s="2">
        <v>4.0000000000000002E-4</v>
      </c>
      <c r="M67" s="2">
        <v>-0.27889999999999998</v>
      </c>
      <c r="N67" s="2">
        <v>0.75390000000000001</v>
      </c>
      <c r="O67" s="2">
        <v>55</v>
      </c>
      <c r="P67" s="2">
        <v>0</v>
      </c>
      <c r="Q67" s="2"/>
    </row>
    <row r="68" spans="2:17" x14ac:dyDescent="0.3">
      <c r="B68" s="2">
        <v>-1</v>
      </c>
      <c r="C68" s="2" t="s">
        <v>25</v>
      </c>
      <c r="D68" s="2">
        <v>55</v>
      </c>
      <c r="E68" s="2" t="s">
        <v>23</v>
      </c>
      <c r="F68" s="2" t="s">
        <v>24</v>
      </c>
      <c r="G68" s="2"/>
      <c r="H68" s="2">
        <v>1.3</v>
      </c>
      <c r="I68" s="2">
        <v>-27.941299999999998</v>
      </c>
      <c r="J68" s="2">
        <v>0.96340000000000003</v>
      </c>
      <c r="K68" s="2">
        <v>-0.3095</v>
      </c>
      <c r="L68" s="2">
        <v>4.0000000000000002E-4</v>
      </c>
      <c r="M68" s="2">
        <v>0.1235</v>
      </c>
      <c r="N68" s="2">
        <v>-0.4985</v>
      </c>
      <c r="O68" s="2">
        <v>55</v>
      </c>
      <c r="P68" s="2">
        <v>1.3</v>
      </c>
      <c r="Q68" s="2"/>
    </row>
    <row r="69" spans="2:17" x14ac:dyDescent="0.3">
      <c r="B69" s="2">
        <v>-1</v>
      </c>
      <c r="C69" s="2" t="s">
        <v>25</v>
      </c>
      <c r="D69" s="2">
        <v>55</v>
      </c>
      <c r="E69" s="2" t="s">
        <v>23</v>
      </c>
      <c r="F69" s="2" t="s">
        <v>24</v>
      </c>
      <c r="G69" s="2"/>
      <c r="H69" s="2">
        <v>2.6</v>
      </c>
      <c r="I69" s="2">
        <v>-27.258800000000001</v>
      </c>
      <c r="J69" s="2">
        <v>0.96340000000000003</v>
      </c>
      <c r="K69" s="2">
        <v>-0.3095</v>
      </c>
      <c r="L69" s="2">
        <v>4.0000000000000002E-4</v>
      </c>
      <c r="M69" s="2">
        <v>0.52580000000000005</v>
      </c>
      <c r="N69" s="2">
        <v>-1.7508999999999999</v>
      </c>
      <c r="O69" s="2">
        <v>55</v>
      </c>
      <c r="P69" s="2">
        <v>2.6</v>
      </c>
      <c r="Q69" s="2"/>
    </row>
    <row r="70" spans="2:17" x14ac:dyDescent="0.3">
      <c r="B70" s="2">
        <v>-1</v>
      </c>
      <c r="C70" s="2" t="s">
        <v>25</v>
      </c>
      <c r="D70" s="2">
        <v>55</v>
      </c>
      <c r="E70" s="2" t="s">
        <v>25</v>
      </c>
      <c r="F70" s="2" t="s">
        <v>24</v>
      </c>
      <c r="G70" s="2"/>
      <c r="H70" s="2">
        <v>0</v>
      </c>
      <c r="I70" s="2">
        <v>-51.255699999999997</v>
      </c>
      <c r="J70" s="2">
        <v>1.8541000000000001</v>
      </c>
      <c r="K70" s="2">
        <v>-0.58930000000000005</v>
      </c>
      <c r="L70" s="2">
        <v>1.1000000000000001E-3</v>
      </c>
      <c r="M70" s="2">
        <v>-0.53300000000000003</v>
      </c>
      <c r="N70" s="2">
        <v>1.4520999999999999</v>
      </c>
      <c r="O70" s="2">
        <v>55</v>
      </c>
      <c r="P70" s="2">
        <v>0</v>
      </c>
      <c r="Q70" s="2"/>
    </row>
    <row r="71" spans="2:17" x14ac:dyDescent="0.3">
      <c r="B71" s="2">
        <v>-1</v>
      </c>
      <c r="C71" s="2" t="s">
        <v>25</v>
      </c>
      <c r="D71" s="2">
        <v>55</v>
      </c>
      <c r="E71" s="2" t="s">
        <v>25</v>
      </c>
      <c r="F71" s="2" t="s">
        <v>24</v>
      </c>
      <c r="G71" s="2"/>
      <c r="H71" s="2">
        <v>1.3</v>
      </c>
      <c r="I71" s="2">
        <v>-50.670699999999997</v>
      </c>
      <c r="J71" s="2">
        <v>1.8541000000000001</v>
      </c>
      <c r="K71" s="2">
        <v>-0.58930000000000005</v>
      </c>
      <c r="L71" s="2">
        <v>1.1000000000000001E-3</v>
      </c>
      <c r="M71" s="2">
        <v>0.23300000000000001</v>
      </c>
      <c r="N71" s="2">
        <v>-0.95820000000000005</v>
      </c>
      <c r="O71" s="2">
        <v>55</v>
      </c>
      <c r="P71" s="2">
        <v>1.3</v>
      </c>
      <c r="Q71" s="2"/>
    </row>
    <row r="72" spans="2:17" x14ac:dyDescent="0.3">
      <c r="B72" s="2">
        <v>-1</v>
      </c>
      <c r="C72" s="2" t="s">
        <v>25</v>
      </c>
      <c r="D72" s="2">
        <v>55</v>
      </c>
      <c r="E72" s="2" t="s">
        <v>25</v>
      </c>
      <c r="F72" s="2" t="s">
        <v>24</v>
      </c>
      <c r="G72" s="2"/>
      <c r="H72" s="2">
        <v>2.6</v>
      </c>
      <c r="I72" s="2">
        <v>-50.085700000000003</v>
      </c>
      <c r="J72" s="2">
        <v>1.8541000000000001</v>
      </c>
      <c r="K72" s="2">
        <v>-0.58930000000000005</v>
      </c>
      <c r="L72" s="2">
        <v>1.1000000000000001E-3</v>
      </c>
      <c r="M72" s="2">
        <v>0.99909999999999999</v>
      </c>
      <c r="N72" s="2">
        <v>-3.3685</v>
      </c>
      <c r="O72" s="2">
        <v>55</v>
      </c>
      <c r="P72" s="2">
        <v>2.6</v>
      </c>
      <c r="Q72" s="2"/>
    </row>
    <row r="73" spans="2:17" x14ac:dyDescent="0.3">
      <c r="B73" s="2">
        <v>-1</v>
      </c>
      <c r="C73" s="2" t="s">
        <v>25</v>
      </c>
      <c r="D73" s="2">
        <v>55</v>
      </c>
      <c r="E73" s="2" t="s">
        <v>26</v>
      </c>
      <c r="F73" s="2" t="s">
        <v>24</v>
      </c>
      <c r="G73" s="2" t="s">
        <v>21</v>
      </c>
      <c r="H73" s="2">
        <v>0</v>
      </c>
      <c r="I73" s="2">
        <v>-18.252300000000002</v>
      </c>
      <c r="J73" s="2">
        <v>1.0902000000000001</v>
      </c>
      <c r="K73" s="2">
        <v>-0.1532</v>
      </c>
      <c r="L73" s="2">
        <v>4.8999999999999998E-3</v>
      </c>
      <c r="M73" s="2">
        <v>-0.1066</v>
      </c>
      <c r="N73" s="2">
        <v>1.1827000000000001</v>
      </c>
      <c r="O73" s="2">
        <v>55</v>
      </c>
      <c r="P73" s="2">
        <v>0</v>
      </c>
      <c r="Q73" s="2"/>
    </row>
    <row r="74" spans="2:17" x14ac:dyDescent="0.3">
      <c r="B74" s="2">
        <v>-1</v>
      </c>
      <c r="C74" s="2" t="s">
        <v>25</v>
      </c>
      <c r="D74" s="2">
        <v>55</v>
      </c>
      <c r="E74" s="2" t="s">
        <v>26</v>
      </c>
      <c r="F74" s="2" t="s">
        <v>24</v>
      </c>
      <c r="G74" s="2" t="s">
        <v>21</v>
      </c>
      <c r="H74" s="2">
        <v>1.3</v>
      </c>
      <c r="I74" s="2">
        <v>-17.813600000000001</v>
      </c>
      <c r="J74" s="2">
        <v>1.0902000000000001</v>
      </c>
      <c r="K74" s="2">
        <v>-0.1532</v>
      </c>
      <c r="L74" s="2">
        <v>4.8999999999999998E-3</v>
      </c>
      <c r="M74" s="2">
        <v>9.3200000000000005E-2</v>
      </c>
      <c r="N74" s="2">
        <v>-0.23230000000000001</v>
      </c>
      <c r="O74" s="2">
        <v>55</v>
      </c>
      <c r="P74" s="2">
        <v>1.3</v>
      </c>
      <c r="Q74" s="2"/>
    </row>
    <row r="75" spans="2:17" x14ac:dyDescent="0.3">
      <c r="B75" s="2">
        <v>-1</v>
      </c>
      <c r="C75" s="2" t="s">
        <v>25</v>
      </c>
      <c r="D75" s="2">
        <v>55</v>
      </c>
      <c r="E75" s="2" t="s">
        <v>26</v>
      </c>
      <c r="F75" s="2" t="s">
        <v>24</v>
      </c>
      <c r="G75" s="2" t="s">
        <v>21</v>
      </c>
      <c r="H75" s="2">
        <v>2.6</v>
      </c>
      <c r="I75" s="2">
        <v>-17.3748</v>
      </c>
      <c r="J75" s="2">
        <v>1.0902000000000001</v>
      </c>
      <c r="K75" s="2">
        <v>-0.1532</v>
      </c>
      <c r="L75" s="2">
        <v>4.8999999999999998E-3</v>
      </c>
      <c r="M75" s="2">
        <v>0.38469999999999999</v>
      </c>
      <c r="N75" s="2">
        <v>-0.59860000000000002</v>
      </c>
      <c r="O75" s="2">
        <v>55</v>
      </c>
      <c r="P75" s="2">
        <v>2.6</v>
      </c>
      <c r="Q75" s="2"/>
    </row>
    <row r="76" spans="2:17" x14ac:dyDescent="0.3">
      <c r="B76" s="2">
        <v>-1</v>
      </c>
      <c r="C76" s="2" t="s">
        <v>25</v>
      </c>
      <c r="D76" s="2">
        <v>55</v>
      </c>
      <c r="E76" s="2" t="s">
        <v>26</v>
      </c>
      <c r="F76" s="2" t="s">
        <v>24</v>
      </c>
      <c r="G76" s="2" t="s">
        <v>27</v>
      </c>
      <c r="H76" s="2">
        <v>0</v>
      </c>
      <c r="I76" s="2">
        <v>-18.549700000000001</v>
      </c>
      <c r="J76" s="2">
        <v>0.1484</v>
      </c>
      <c r="K76" s="2">
        <v>-0.24479999999999999</v>
      </c>
      <c r="L76" s="2">
        <v>-4.4000000000000003E-3</v>
      </c>
      <c r="M76" s="2">
        <v>-0.25209999999999999</v>
      </c>
      <c r="N76" s="2">
        <v>-0.21340000000000001</v>
      </c>
      <c r="O76" s="2">
        <v>55</v>
      </c>
      <c r="P76" s="2">
        <v>0</v>
      </c>
      <c r="Q76" s="2"/>
    </row>
    <row r="77" spans="2:17" x14ac:dyDescent="0.3">
      <c r="B77" s="2">
        <v>-1</v>
      </c>
      <c r="C77" s="2" t="s">
        <v>25</v>
      </c>
      <c r="D77" s="2">
        <v>55</v>
      </c>
      <c r="E77" s="2" t="s">
        <v>26</v>
      </c>
      <c r="F77" s="2" t="s">
        <v>24</v>
      </c>
      <c r="G77" s="2" t="s">
        <v>27</v>
      </c>
      <c r="H77" s="2">
        <v>1.3</v>
      </c>
      <c r="I77" s="2">
        <v>-18.110900000000001</v>
      </c>
      <c r="J77" s="2">
        <v>0.1484</v>
      </c>
      <c r="K77" s="2">
        <v>-0.24479999999999999</v>
      </c>
      <c r="L77" s="2">
        <v>-4.4000000000000003E-3</v>
      </c>
      <c r="M77" s="2">
        <v>6.5500000000000003E-2</v>
      </c>
      <c r="N77" s="2">
        <v>-0.40860000000000002</v>
      </c>
      <c r="O77" s="2">
        <v>55</v>
      </c>
      <c r="P77" s="2">
        <v>1.3</v>
      </c>
      <c r="Q77" s="2"/>
    </row>
    <row r="78" spans="2:17" x14ac:dyDescent="0.3">
      <c r="B78" s="2">
        <v>-1</v>
      </c>
      <c r="C78" s="2" t="s">
        <v>25</v>
      </c>
      <c r="D78" s="2">
        <v>55</v>
      </c>
      <c r="E78" s="2" t="s">
        <v>26</v>
      </c>
      <c r="F78" s="2" t="s">
        <v>24</v>
      </c>
      <c r="G78" s="2" t="s">
        <v>27</v>
      </c>
      <c r="H78" s="2">
        <v>2.6</v>
      </c>
      <c r="I78" s="2">
        <v>-17.6722</v>
      </c>
      <c r="J78" s="2">
        <v>0.1484</v>
      </c>
      <c r="K78" s="2">
        <v>-0.24479999999999999</v>
      </c>
      <c r="L78" s="2">
        <v>-4.4000000000000003E-3</v>
      </c>
      <c r="M78" s="2">
        <v>0.29139999999999999</v>
      </c>
      <c r="N78" s="2">
        <v>-1.6525000000000001</v>
      </c>
      <c r="O78" s="2">
        <v>55</v>
      </c>
      <c r="P78" s="2">
        <v>2.6</v>
      </c>
      <c r="Q78" s="2"/>
    </row>
    <row r="79" spans="2:17" x14ac:dyDescent="0.3">
      <c r="B79" s="2">
        <v>-1</v>
      </c>
      <c r="C79" s="2" t="s">
        <v>25</v>
      </c>
      <c r="D79" s="2">
        <v>55</v>
      </c>
      <c r="E79" s="2" t="s">
        <v>28</v>
      </c>
      <c r="F79" s="2" t="s">
        <v>24</v>
      </c>
      <c r="G79" s="2" t="s">
        <v>21</v>
      </c>
      <c r="H79" s="2">
        <v>0</v>
      </c>
      <c r="I79" s="2">
        <v>-41.0867</v>
      </c>
      <c r="J79" s="2">
        <v>1.9394</v>
      </c>
      <c r="K79" s="2">
        <v>-0.42199999999999999</v>
      </c>
      <c r="L79" s="2">
        <v>5.4000000000000003E-3</v>
      </c>
      <c r="M79" s="2">
        <v>-0.35</v>
      </c>
      <c r="N79" s="2">
        <v>1.8479000000000001</v>
      </c>
      <c r="O79" s="2">
        <v>55</v>
      </c>
      <c r="P79" s="2">
        <v>0</v>
      </c>
      <c r="Q79" s="2"/>
    </row>
    <row r="80" spans="2:17" x14ac:dyDescent="0.3">
      <c r="B80" s="2">
        <v>-1</v>
      </c>
      <c r="C80" s="2" t="s">
        <v>25</v>
      </c>
      <c r="D80" s="2">
        <v>55</v>
      </c>
      <c r="E80" s="2" t="s">
        <v>28</v>
      </c>
      <c r="F80" s="2" t="s">
        <v>24</v>
      </c>
      <c r="G80" s="2" t="s">
        <v>21</v>
      </c>
      <c r="H80" s="2">
        <v>1.3</v>
      </c>
      <c r="I80" s="2">
        <v>-40.5017</v>
      </c>
      <c r="J80" s="2">
        <v>1.9394</v>
      </c>
      <c r="K80" s="2">
        <v>-0.42199999999999999</v>
      </c>
      <c r="L80" s="2">
        <v>5.4000000000000003E-3</v>
      </c>
      <c r="M80" s="2">
        <v>0.19919999999999999</v>
      </c>
      <c r="N80" s="2">
        <v>-0.67100000000000004</v>
      </c>
      <c r="O80" s="2">
        <v>55</v>
      </c>
      <c r="P80" s="2">
        <v>1.3</v>
      </c>
      <c r="Q80" s="2"/>
    </row>
    <row r="81" spans="2:17" x14ac:dyDescent="0.3">
      <c r="B81" s="2">
        <v>-1</v>
      </c>
      <c r="C81" s="2" t="s">
        <v>25</v>
      </c>
      <c r="D81" s="2">
        <v>55</v>
      </c>
      <c r="E81" s="2" t="s">
        <v>28</v>
      </c>
      <c r="F81" s="2" t="s">
        <v>24</v>
      </c>
      <c r="G81" s="2" t="s">
        <v>21</v>
      </c>
      <c r="H81" s="2">
        <v>2.6</v>
      </c>
      <c r="I81" s="2">
        <v>-39.916699999999999</v>
      </c>
      <c r="J81" s="2">
        <v>1.9394</v>
      </c>
      <c r="K81" s="2">
        <v>-0.42199999999999999</v>
      </c>
      <c r="L81" s="2">
        <v>5.4000000000000003E-3</v>
      </c>
      <c r="M81" s="2">
        <v>0.84009999999999996</v>
      </c>
      <c r="N81" s="2">
        <v>-2.1410999999999998</v>
      </c>
      <c r="O81" s="2">
        <v>55</v>
      </c>
      <c r="P81" s="2">
        <v>2.6</v>
      </c>
      <c r="Q81" s="2"/>
    </row>
    <row r="82" spans="2:17" x14ac:dyDescent="0.3">
      <c r="B82" s="2">
        <v>-1</v>
      </c>
      <c r="C82" s="2" t="s">
        <v>25</v>
      </c>
      <c r="D82" s="2">
        <v>55</v>
      </c>
      <c r="E82" s="2" t="s">
        <v>28</v>
      </c>
      <c r="F82" s="2" t="s">
        <v>24</v>
      </c>
      <c r="G82" s="2" t="s">
        <v>27</v>
      </c>
      <c r="H82" s="2">
        <v>0</v>
      </c>
      <c r="I82" s="2">
        <v>-41.384</v>
      </c>
      <c r="J82" s="2">
        <v>0.99750000000000005</v>
      </c>
      <c r="K82" s="2">
        <v>-0.51359999999999995</v>
      </c>
      <c r="L82" s="2">
        <v>-3.8E-3</v>
      </c>
      <c r="M82" s="2">
        <v>-0.49559999999999998</v>
      </c>
      <c r="N82" s="2">
        <v>0.45179999999999998</v>
      </c>
      <c r="O82" s="2">
        <v>55</v>
      </c>
      <c r="P82" s="2">
        <v>0</v>
      </c>
      <c r="Q82" s="2"/>
    </row>
    <row r="83" spans="2:17" x14ac:dyDescent="0.3">
      <c r="B83" s="2">
        <v>-1</v>
      </c>
      <c r="C83" s="2" t="s">
        <v>25</v>
      </c>
      <c r="D83" s="2">
        <v>55</v>
      </c>
      <c r="E83" s="2" t="s">
        <v>28</v>
      </c>
      <c r="F83" s="2" t="s">
        <v>24</v>
      </c>
      <c r="G83" s="2" t="s">
        <v>27</v>
      </c>
      <c r="H83" s="2">
        <v>1.3</v>
      </c>
      <c r="I83" s="2">
        <v>-40.798999999999999</v>
      </c>
      <c r="J83" s="2">
        <v>0.99750000000000005</v>
      </c>
      <c r="K83" s="2">
        <v>-0.51359999999999995</v>
      </c>
      <c r="L83" s="2">
        <v>-3.8E-3</v>
      </c>
      <c r="M83" s="2">
        <v>0.17150000000000001</v>
      </c>
      <c r="N83" s="2">
        <v>-0.84730000000000005</v>
      </c>
      <c r="O83" s="2">
        <v>55</v>
      </c>
      <c r="P83" s="2">
        <v>1.3</v>
      </c>
      <c r="Q83" s="2"/>
    </row>
    <row r="84" spans="2:17" x14ac:dyDescent="0.3">
      <c r="B84" s="2">
        <v>-1</v>
      </c>
      <c r="C84" s="2" t="s">
        <v>25</v>
      </c>
      <c r="D84" s="2">
        <v>55</v>
      </c>
      <c r="E84" s="2" t="s">
        <v>28</v>
      </c>
      <c r="F84" s="2" t="s">
        <v>24</v>
      </c>
      <c r="G84" s="2" t="s">
        <v>27</v>
      </c>
      <c r="H84" s="2">
        <v>2.6</v>
      </c>
      <c r="I84" s="2">
        <v>-40.213999999999999</v>
      </c>
      <c r="J84" s="2">
        <v>0.99750000000000005</v>
      </c>
      <c r="K84" s="2">
        <v>-0.51359999999999995</v>
      </c>
      <c r="L84" s="2">
        <v>-3.8E-3</v>
      </c>
      <c r="M84" s="2">
        <v>0.74680000000000002</v>
      </c>
      <c r="N84" s="2">
        <v>-3.1951000000000001</v>
      </c>
      <c r="O84" s="2">
        <v>55</v>
      </c>
      <c r="P84" s="2">
        <v>2.6</v>
      </c>
      <c r="Q84" s="2"/>
    </row>
    <row r="85" spans="2:17" x14ac:dyDescent="0.3">
      <c r="B85" s="2">
        <v>-1</v>
      </c>
      <c r="C85" s="2" t="s">
        <v>25</v>
      </c>
      <c r="D85" s="2">
        <v>55</v>
      </c>
      <c r="E85" s="2" t="s">
        <v>29</v>
      </c>
      <c r="F85" s="2" t="s">
        <v>24</v>
      </c>
      <c r="G85" s="2" t="s">
        <v>21</v>
      </c>
      <c r="H85" s="2">
        <v>0</v>
      </c>
      <c r="I85" s="2">
        <v>-40.9236</v>
      </c>
      <c r="J85" s="2">
        <v>1.6267</v>
      </c>
      <c r="K85" s="2">
        <v>-0.3</v>
      </c>
      <c r="L85" s="2">
        <v>1.8E-3</v>
      </c>
      <c r="M85" s="2">
        <v>-0.1777</v>
      </c>
      <c r="N85" s="2">
        <v>1.3015000000000001</v>
      </c>
      <c r="O85" s="2">
        <v>55</v>
      </c>
      <c r="P85" s="2">
        <v>0</v>
      </c>
      <c r="Q85" s="2"/>
    </row>
    <row r="86" spans="2:17" x14ac:dyDescent="0.3">
      <c r="B86" s="2">
        <v>-1</v>
      </c>
      <c r="C86" s="2" t="s">
        <v>25</v>
      </c>
      <c r="D86" s="2">
        <v>55</v>
      </c>
      <c r="E86" s="2" t="s">
        <v>29</v>
      </c>
      <c r="F86" s="2" t="s">
        <v>24</v>
      </c>
      <c r="G86" s="2" t="s">
        <v>21</v>
      </c>
      <c r="H86" s="2">
        <v>1.3</v>
      </c>
      <c r="I86" s="2">
        <v>-40.3386</v>
      </c>
      <c r="J86" s="2">
        <v>1.6267</v>
      </c>
      <c r="K86" s="2">
        <v>-0.3</v>
      </c>
      <c r="L86" s="2">
        <v>1.8E-3</v>
      </c>
      <c r="M86" s="2">
        <v>0.21260000000000001</v>
      </c>
      <c r="N86" s="2">
        <v>-0.68500000000000005</v>
      </c>
      <c r="O86" s="2">
        <v>55</v>
      </c>
      <c r="P86" s="2">
        <v>1.3</v>
      </c>
      <c r="Q86" s="2"/>
    </row>
    <row r="87" spans="2:17" x14ac:dyDescent="0.3">
      <c r="B87" s="2">
        <v>-1</v>
      </c>
      <c r="C87" s="2" t="s">
        <v>25</v>
      </c>
      <c r="D87" s="2">
        <v>55</v>
      </c>
      <c r="E87" s="2" t="s">
        <v>29</v>
      </c>
      <c r="F87" s="2" t="s">
        <v>24</v>
      </c>
      <c r="G87" s="2" t="s">
        <v>21</v>
      </c>
      <c r="H87" s="2">
        <v>2.6</v>
      </c>
      <c r="I87" s="2">
        <v>-39.753599999999999</v>
      </c>
      <c r="J87" s="2">
        <v>1.6267</v>
      </c>
      <c r="K87" s="2">
        <v>-0.3</v>
      </c>
      <c r="L87" s="2">
        <v>1.8E-3</v>
      </c>
      <c r="M87" s="2">
        <v>0.98470000000000002</v>
      </c>
      <c r="N87" s="2">
        <v>-2.4049</v>
      </c>
      <c r="O87" s="2">
        <v>55</v>
      </c>
      <c r="P87" s="2">
        <v>2.6</v>
      </c>
      <c r="Q87" s="2"/>
    </row>
    <row r="88" spans="2:17" x14ac:dyDescent="0.3">
      <c r="B88" s="2">
        <v>-1</v>
      </c>
      <c r="C88" s="2" t="s">
        <v>25</v>
      </c>
      <c r="D88" s="2">
        <v>55</v>
      </c>
      <c r="E88" s="2" t="s">
        <v>29</v>
      </c>
      <c r="F88" s="2" t="s">
        <v>24</v>
      </c>
      <c r="G88" s="2" t="s">
        <v>27</v>
      </c>
      <c r="H88" s="2">
        <v>0</v>
      </c>
      <c r="I88" s="2">
        <v>-41.546999999999997</v>
      </c>
      <c r="J88" s="2">
        <v>1.3102</v>
      </c>
      <c r="K88" s="2">
        <v>-0.63560000000000005</v>
      </c>
      <c r="L88" s="2">
        <v>-2.0000000000000001E-4</v>
      </c>
      <c r="M88" s="2">
        <v>-0.66790000000000005</v>
      </c>
      <c r="N88" s="2">
        <v>0.99829999999999997</v>
      </c>
      <c r="O88" s="2">
        <v>55</v>
      </c>
      <c r="P88" s="2">
        <v>0</v>
      </c>
      <c r="Q88" s="2"/>
    </row>
    <row r="89" spans="2:17" x14ac:dyDescent="0.3">
      <c r="B89" s="2">
        <v>-1</v>
      </c>
      <c r="C89" s="2" t="s">
        <v>25</v>
      </c>
      <c r="D89" s="2">
        <v>55</v>
      </c>
      <c r="E89" s="2" t="s">
        <v>29</v>
      </c>
      <c r="F89" s="2" t="s">
        <v>24</v>
      </c>
      <c r="G89" s="2" t="s">
        <v>27</v>
      </c>
      <c r="H89" s="2">
        <v>1.3</v>
      </c>
      <c r="I89" s="2">
        <v>-40.962000000000003</v>
      </c>
      <c r="J89" s="2">
        <v>1.3102</v>
      </c>
      <c r="K89" s="2">
        <v>-0.63560000000000005</v>
      </c>
      <c r="L89" s="2">
        <v>-2.0000000000000001E-4</v>
      </c>
      <c r="M89" s="2">
        <v>0.15809999999999999</v>
      </c>
      <c r="N89" s="2">
        <v>-0.83330000000000004</v>
      </c>
      <c r="O89" s="2">
        <v>55</v>
      </c>
      <c r="P89" s="2">
        <v>1.3</v>
      </c>
      <c r="Q89" s="2"/>
    </row>
    <row r="90" spans="2:17" x14ac:dyDescent="0.3">
      <c r="B90" s="2">
        <v>-1</v>
      </c>
      <c r="C90" s="2" t="s">
        <v>25</v>
      </c>
      <c r="D90" s="2">
        <v>55</v>
      </c>
      <c r="E90" s="2" t="s">
        <v>29</v>
      </c>
      <c r="F90" s="2" t="s">
        <v>24</v>
      </c>
      <c r="G90" s="2" t="s">
        <v>27</v>
      </c>
      <c r="H90" s="2">
        <v>2.6</v>
      </c>
      <c r="I90" s="2">
        <v>-40.377000000000002</v>
      </c>
      <c r="J90" s="2">
        <v>1.3102</v>
      </c>
      <c r="K90" s="2">
        <v>-0.63560000000000005</v>
      </c>
      <c r="L90" s="2">
        <v>-2.0000000000000001E-4</v>
      </c>
      <c r="M90" s="2">
        <v>0.60219999999999996</v>
      </c>
      <c r="N90" s="2">
        <v>-2.9312999999999998</v>
      </c>
      <c r="O90" s="2">
        <v>55</v>
      </c>
      <c r="P90" s="2">
        <v>2.6</v>
      </c>
      <c r="Q90" s="2"/>
    </row>
    <row r="91" spans="2:17" x14ac:dyDescent="0.3">
      <c r="B91" s="2">
        <v>-1</v>
      </c>
      <c r="C91" s="2" t="s">
        <v>25</v>
      </c>
      <c r="D91" s="2">
        <v>55</v>
      </c>
      <c r="E91" s="2" t="s">
        <v>30</v>
      </c>
      <c r="F91" s="2" t="s">
        <v>24</v>
      </c>
      <c r="G91" s="2" t="s">
        <v>21</v>
      </c>
      <c r="H91" s="2">
        <v>0</v>
      </c>
      <c r="I91" s="2">
        <v>-18.089300000000001</v>
      </c>
      <c r="J91" s="2">
        <v>1.9394</v>
      </c>
      <c r="K91" s="2">
        <v>-3.1199999999999999E-2</v>
      </c>
      <c r="L91" s="2">
        <v>5.4000000000000003E-3</v>
      </c>
      <c r="M91" s="2">
        <v>6.5799999999999997E-2</v>
      </c>
      <c r="N91" s="2">
        <v>1.8479000000000001</v>
      </c>
      <c r="O91" s="2">
        <v>55</v>
      </c>
      <c r="P91" s="2">
        <v>0</v>
      </c>
      <c r="Q91" s="2"/>
    </row>
    <row r="92" spans="2:17" x14ac:dyDescent="0.3">
      <c r="B92" s="2">
        <v>-1</v>
      </c>
      <c r="C92" s="2" t="s">
        <v>25</v>
      </c>
      <c r="D92" s="2">
        <v>55</v>
      </c>
      <c r="E92" s="2" t="s">
        <v>30</v>
      </c>
      <c r="F92" s="2" t="s">
        <v>24</v>
      </c>
      <c r="G92" s="2" t="s">
        <v>21</v>
      </c>
      <c r="H92" s="2">
        <v>1.3</v>
      </c>
      <c r="I92" s="2">
        <v>-17.650500000000001</v>
      </c>
      <c r="J92" s="2">
        <v>1.9394</v>
      </c>
      <c r="K92" s="2">
        <v>-3.1199999999999999E-2</v>
      </c>
      <c r="L92" s="2">
        <v>5.4000000000000003E-3</v>
      </c>
      <c r="M92" s="2">
        <v>0.23300000000000001</v>
      </c>
      <c r="N92" s="2">
        <v>-0.23230000000000001</v>
      </c>
      <c r="O92" s="2">
        <v>55</v>
      </c>
      <c r="P92" s="2">
        <v>1.3</v>
      </c>
      <c r="Q92" s="2"/>
    </row>
    <row r="93" spans="2:17" x14ac:dyDescent="0.3">
      <c r="B93" s="2">
        <v>-1</v>
      </c>
      <c r="C93" s="2" t="s">
        <v>25</v>
      </c>
      <c r="D93" s="2">
        <v>55</v>
      </c>
      <c r="E93" s="2" t="s">
        <v>30</v>
      </c>
      <c r="F93" s="2" t="s">
        <v>24</v>
      </c>
      <c r="G93" s="2" t="s">
        <v>21</v>
      </c>
      <c r="H93" s="2">
        <v>2.6</v>
      </c>
      <c r="I93" s="2">
        <v>-17.2118</v>
      </c>
      <c r="J93" s="2">
        <v>1.9394</v>
      </c>
      <c r="K93" s="2">
        <v>-3.1199999999999999E-2</v>
      </c>
      <c r="L93" s="2">
        <v>5.4000000000000003E-3</v>
      </c>
      <c r="M93" s="2">
        <v>0.99909999999999999</v>
      </c>
      <c r="N93" s="2">
        <v>-0.59860000000000002</v>
      </c>
      <c r="O93" s="2">
        <v>55</v>
      </c>
      <c r="P93" s="2">
        <v>2.6</v>
      </c>
      <c r="Q93" s="2"/>
    </row>
    <row r="94" spans="2:17" x14ac:dyDescent="0.3">
      <c r="B94" s="2">
        <v>-1</v>
      </c>
      <c r="C94" s="2" t="s">
        <v>25</v>
      </c>
      <c r="D94" s="2">
        <v>55</v>
      </c>
      <c r="E94" s="2" t="s">
        <v>30</v>
      </c>
      <c r="F94" s="2" t="s">
        <v>24</v>
      </c>
      <c r="G94" s="2" t="s">
        <v>27</v>
      </c>
      <c r="H94" s="2">
        <v>0</v>
      </c>
      <c r="I94" s="2">
        <v>-51.255699999999997</v>
      </c>
      <c r="J94" s="2">
        <v>0.1484</v>
      </c>
      <c r="K94" s="2">
        <v>-0.63560000000000005</v>
      </c>
      <c r="L94" s="2">
        <v>-4.4000000000000003E-3</v>
      </c>
      <c r="M94" s="2">
        <v>-0.66790000000000005</v>
      </c>
      <c r="N94" s="2">
        <v>-0.21340000000000001</v>
      </c>
      <c r="O94" s="2">
        <v>55</v>
      </c>
      <c r="P94" s="2">
        <v>0</v>
      </c>
      <c r="Q94" s="2"/>
    </row>
    <row r="95" spans="2:17" x14ac:dyDescent="0.3">
      <c r="B95" s="2">
        <v>-1</v>
      </c>
      <c r="C95" s="2" t="s">
        <v>25</v>
      </c>
      <c r="D95" s="2">
        <v>55</v>
      </c>
      <c r="E95" s="2" t="s">
        <v>30</v>
      </c>
      <c r="F95" s="2" t="s">
        <v>24</v>
      </c>
      <c r="G95" s="2" t="s">
        <v>27</v>
      </c>
      <c r="H95" s="2">
        <v>1.3</v>
      </c>
      <c r="I95" s="2">
        <v>-50.670699999999997</v>
      </c>
      <c r="J95" s="2">
        <v>0.1484</v>
      </c>
      <c r="K95" s="2">
        <v>-0.63560000000000005</v>
      </c>
      <c r="L95" s="2">
        <v>-4.4000000000000003E-3</v>
      </c>
      <c r="M95" s="2">
        <v>5.21E-2</v>
      </c>
      <c r="N95" s="2">
        <v>-0.95820000000000005</v>
      </c>
      <c r="O95" s="2">
        <v>55</v>
      </c>
      <c r="P95" s="2">
        <v>1.3</v>
      </c>
      <c r="Q95" s="2"/>
    </row>
    <row r="96" spans="2:17" x14ac:dyDescent="0.3">
      <c r="B96" s="2">
        <v>-1</v>
      </c>
      <c r="C96" s="2" t="s">
        <v>25</v>
      </c>
      <c r="D96" s="2">
        <v>55</v>
      </c>
      <c r="E96" s="2" t="s">
        <v>30</v>
      </c>
      <c r="F96" s="2" t="s">
        <v>24</v>
      </c>
      <c r="G96" s="2" t="s">
        <v>27</v>
      </c>
      <c r="H96" s="2">
        <v>2.6</v>
      </c>
      <c r="I96" s="2">
        <v>-50.085700000000003</v>
      </c>
      <c r="J96" s="2">
        <v>0.1484</v>
      </c>
      <c r="K96" s="2">
        <v>-0.63560000000000005</v>
      </c>
      <c r="L96" s="2">
        <v>-4.4000000000000003E-3</v>
      </c>
      <c r="M96" s="2">
        <v>0.14680000000000001</v>
      </c>
      <c r="N96" s="2">
        <v>-3.3685</v>
      </c>
      <c r="O96" s="2">
        <v>55</v>
      </c>
      <c r="P96" s="2">
        <v>2.6</v>
      </c>
      <c r="Q96" s="2"/>
    </row>
    <row r="97" spans="2:17" x14ac:dyDescent="0.3">
      <c r="B97" s="2">
        <v>-1</v>
      </c>
      <c r="C97" s="2" t="s">
        <v>25</v>
      </c>
      <c r="D97" s="2">
        <v>55</v>
      </c>
      <c r="E97" s="2" t="s">
        <v>31</v>
      </c>
      <c r="F97" s="2" t="s">
        <v>24</v>
      </c>
      <c r="G97" s="2" t="s">
        <v>21</v>
      </c>
      <c r="H97" s="2">
        <v>0</v>
      </c>
      <c r="I97" s="2">
        <v>-18.089300000000001</v>
      </c>
      <c r="J97" s="2">
        <v>0.77749999999999997</v>
      </c>
      <c r="K97" s="2">
        <v>-3.1199999999999999E-2</v>
      </c>
      <c r="L97" s="2">
        <v>1.2999999999999999E-3</v>
      </c>
      <c r="M97" s="2">
        <v>6.5799999999999997E-2</v>
      </c>
      <c r="N97" s="2">
        <v>0.63619999999999999</v>
      </c>
      <c r="O97" s="2">
        <v>55</v>
      </c>
      <c r="P97" s="2">
        <v>0</v>
      </c>
      <c r="Q97" s="2"/>
    </row>
    <row r="98" spans="2:17" x14ac:dyDescent="0.3">
      <c r="B98" s="2">
        <v>-1</v>
      </c>
      <c r="C98" s="2" t="s">
        <v>25</v>
      </c>
      <c r="D98" s="2">
        <v>55</v>
      </c>
      <c r="E98" s="2" t="s">
        <v>31</v>
      </c>
      <c r="F98" s="2" t="s">
        <v>24</v>
      </c>
      <c r="G98" s="2" t="s">
        <v>21</v>
      </c>
      <c r="H98" s="2">
        <v>1.3</v>
      </c>
      <c r="I98" s="2">
        <v>-17.650500000000001</v>
      </c>
      <c r="J98" s="2">
        <v>0.77749999999999997</v>
      </c>
      <c r="K98" s="2">
        <v>-3.1199999999999999E-2</v>
      </c>
      <c r="L98" s="2">
        <v>1.2999999999999999E-3</v>
      </c>
      <c r="M98" s="2">
        <v>0.1066</v>
      </c>
      <c r="N98" s="2">
        <v>-0.24629999999999999</v>
      </c>
      <c r="O98" s="2">
        <v>55</v>
      </c>
      <c r="P98" s="2">
        <v>1.3</v>
      </c>
      <c r="Q98" s="2"/>
    </row>
    <row r="99" spans="2:17" x14ac:dyDescent="0.3">
      <c r="B99" s="2">
        <v>-1</v>
      </c>
      <c r="C99" s="2" t="s">
        <v>25</v>
      </c>
      <c r="D99" s="2">
        <v>55</v>
      </c>
      <c r="E99" s="2" t="s">
        <v>31</v>
      </c>
      <c r="F99" s="2" t="s">
        <v>24</v>
      </c>
      <c r="G99" s="2" t="s">
        <v>21</v>
      </c>
      <c r="H99" s="2">
        <v>2.6</v>
      </c>
      <c r="I99" s="2">
        <v>-17.2118</v>
      </c>
      <c r="J99" s="2">
        <v>0.77749999999999997</v>
      </c>
      <c r="K99" s="2">
        <v>-3.1199999999999999E-2</v>
      </c>
      <c r="L99" s="2">
        <v>1.2999999999999999E-3</v>
      </c>
      <c r="M99" s="2">
        <v>0.52929999999999999</v>
      </c>
      <c r="N99" s="2">
        <v>-0.86240000000000006</v>
      </c>
      <c r="O99" s="2">
        <v>55</v>
      </c>
      <c r="P99" s="2">
        <v>2.6</v>
      </c>
      <c r="Q99" s="2"/>
    </row>
    <row r="100" spans="2:17" x14ac:dyDescent="0.3">
      <c r="B100" s="2">
        <v>-1</v>
      </c>
      <c r="C100" s="2" t="s">
        <v>25</v>
      </c>
      <c r="D100" s="2">
        <v>55</v>
      </c>
      <c r="E100" s="2" t="s">
        <v>31</v>
      </c>
      <c r="F100" s="2" t="s">
        <v>24</v>
      </c>
      <c r="G100" s="2" t="s">
        <v>27</v>
      </c>
      <c r="H100" s="2">
        <v>0</v>
      </c>
      <c r="I100" s="2">
        <v>-18.712700000000002</v>
      </c>
      <c r="J100" s="2">
        <v>0.46110000000000001</v>
      </c>
      <c r="K100" s="2">
        <v>-0.36680000000000001</v>
      </c>
      <c r="L100" s="2">
        <v>-8.0000000000000004E-4</v>
      </c>
      <c r="M100" s="2">
        <v>-0.4244</v>
      </c>
      <c r="N100" s="2">
        <v>0.33310000000000001</v>
      </c>
      <c r="O100" s="2">
        <v>55</v>
      </c>
      <c r="P100" s="2">
        <v>0</v>
      </c>
      <c r="Q100" s="2"/>
    </row>
    <row r="101" spans="2:17" x14ac:dyDescent="0.3">
      <c r="B101" s="2">
        <v>-1</v>
      </c>
      <c r="C101" s="2" t="s">
        <v>25</v>
      </c>
      <c r="D101" s="2">
        <v>55</v>
      </c>
      <c r="E101" s="2" t="s">
        <v>31</v>
      </c>
      <c r="F101" s="2" t="s">
        <v>24</v>
      </c>
      <c r="G101" s="2" t="s">
        <v>27</v>
      </c>
      <c r="H101" s="2">
        <v>1.3</v>
      </c>
      <c r="I101" s="2">
        <v>-18.274000000000001</v>
      </c>
      <c r="J101" s="2">
        <v>0.46110000000000001</v>
      </c>
      <c r="K101" s="2">
        <v>-0.36680000000000001</v>
      </c>
      <c r="L101" s="2">
        <v>-8.0000000000000004E-4</v>
      </c>
      <c r="M101" s="2">
        <v>5.21E-2</v>
      </c>
      <c r="N101" s="2">
        <v>-0.39460000000000001</v>
      </c>
      <c r="O101" s="2">
        <v>55</v>
      </c>
      <c r="P101" s="2">
        <v>1.3</v>
      </c>
      <c r="Q101" s="2"/>
    </row>
    <row r="102" spans="2:17" x14ac:dyDescent="0.3">
      <c r="B102" s="2">
        <v>-1</v>
      </c>
      <c r="C102" s="2" t="s">
        <v>25</v>
      </c>
      <c r="D102" s="2">
        <v>55</v>
      </c>
      <c r="E102" s="2" t="s">
        <v>31</v>
      </c>
      <c r="F102" s="2" t="s">
        <v>24</v>
      </c>
      <c r="G102" s="2" t="s">
        <v>27</v>
      </c>
      <c r="H102" s="2">
        <v>2.6</v>
      </c>
      <c r="I102" s="2">
        <v>-17.8352</v>
      </c>
      <c r="J102" s="2">
        <v>0.46110000000000001</v>
      </c>
      <c r="K102" s="2">
        <v>-0.36680000000000001</v>
      </c>
      <c r="L102" s="2">
        <v>-8.0000000000000004E-4</v>
      </c>
      <c r="M102" s="2">
        <v>0.14680000000000001</v>
      </c>
      <c r="N102" s="2">
        <v>-1.3887</v>
      </c>
      <c r="O102" s="2">
        <v>55</v>
      </c>
      <c r="P102" s="2">
        <v>2.6</v>
      </c>
      <c r="Q102" s="2"/>
    </row>
    <row r="103" spans="2:17" x14ac:dyDescent="0.3">
      <c r="B103" s="2">
        <v>-1</v>
      </c>
      <c r="C103" s="2" t="s">
        <v>25</v>
      </c>
      <c r="D103" s="2">
        <v>55</v>
      </c>
      <c r="E103" s="2" t="s">
        <v>32</v>
      </c>
      <c r="F103" s="2" t="s">
        <v>24</v>
      </c>
      <c r="G103" s="2"/>
      <c r="H103" s="2">
        <v>0</v>
      </c>
      <c r="I103" s="2">
        <v>-37.1462</v>
      </c>
      <c r="J103" s="2">
        <v>1.3308</v>
      </c>
      <c r="K103" s="2">
        <v>-0.42359999999999998</v>
      </c>
      <c r="L103" s="2">
        <v>8.0000000000000004E-4</v>
      </c>
      <c r="M103" s="2">
        <v>-0.38300000000000001</v>
      </c>
      <c r="N103" s="2">
        <v>1.0422</v>
      </c>
      <c r="O103" s="2">
        <v>55</v>
      </c>
      <c r="P103" s="2">
        <v>0</v>
      </c>
      <c r="Q103" s="2"/>
    </row>
    <row r="104" spans="2:17" x14ac:dyDescent="0.3">
      <c r="B104" s="2">
        <v>-1</v>
      </c>
      <c r="C104" s="2" t="s">
        <v>25</v>
      </c>
      <c r="D104" s="2">
        <v>55</v>
      </c>
      <c r="E104" s="2" t="s">
        <v>32</v>
      </c>
      <c r="F104" s="2" t="s">
        <v>24</v>
      </c>
      <c r="G104" s="2"/>
      <c r="H104" s="2">
        <v>1.3</v>
      </c>
      <c r="I104" s="2">
        <v>-36.658700000000003</v>
      </c>
      <c r="J104" s="2">
        <v>1.3308</v>
      </c>
      <c r="K104" s="2">
        <v>-0.42359999999999998</v>
      </c>
      <c r="L104" s="2">
        <v>8.0000000000000004E-4</v>
      </c>
      <c r="M104" s="2">
        <v>0.16769999999999999</v>
      </c>
      <c r="N104" s="2">
        <v>-0.68789999999999996</v>
      </c>
      <c r="O104" s="2">
        <v>55</v>
      </c>
      <c r="P104" s="2">
        <v>1.3</v>
      </c>
      <c r="Q104" s="2"/>
    </row>
    <row r="105" spans="2:17" x14ac:dyDescent="0.3">
      <c r="B105" s="2">
        <v>-1</v>
      </c>
      <c r="C105" s="2" t="s">
        <v>25</v>
      </c>
      <c r="D105" s="2">
        <v>55</v>
      </c>
      <c r="E105" s="2" t="s">
        <v>32</v>
      </c>
      <c r="F105" s="2" t="s">
        <v>24</v>
      </c>
      <c r="G105" s="2"/>
      <c r="H105" s="2">
        <v>2.6</v>
      </c>
      <c r="I105" s="2">
        <v>-36.171199999999999</v>
      </c>
      <c r="J105" s="2">
        <v>1.3308</v>
      </c>
      <c r="K105" s="2">
        <v>-0.42359999999999998</v>
      </c>
      <c r="L105" s="2">
        <v>8.0000000000000004E-4</v>
      </c>
      <c r="M105" s="2">
        <v>0.71830000000000005</v>
      </c>
      <c r="N105" s="2">
        <v>-2.4180000000000001</v>
      </c>
      <c r="O105" s="2">
        <v>55</v>
      </c>
      <c r="P105" s="2">
        <v>2.6</v>
      </c>
      <c r="Q105" s="2"/>
    </row>
    <row r="106" spans="2:17" x14ac:dyDescent="0.3">
      <c r="B106" s="2">
        <v>-1</v>
      </c>
      <c r="C106" s="2" t="s">
        <v>26</v>
      </c>
      <c r="D106" s="2">
        <v>58</v>
      </c>
      <c r="E106" s="2" t="s">
        <v>14</v>
      </c>
      <c r="F106" s="2" t="s">
        <v>15</v>
      </c>
      <c r="G106" s="2"/>
      <c r="H106" s="2">
        <v>0</v>
      </c>
      <c r="I106" s="2">
        <v>-20.306100000000001</v>
      </c>
      <c r="J106" s="2">
        <v>1.0402</v>
      </c>
      <c r="K106" s="2">
        <v>0.122</v>
      </c>
      <c r="L106" s="2">
        <v>2.9999999999999997E-4</v>
      </c>
      <c r="M106" s="2">
        <v>9.2399999999999996E-2</v>
      </c>
      <c r="N106" s="2">
        <v>0.83030000000000004</v>
      </c>
      <c r="O106" s="2">
        <v>58</v>
      </c>
      <c r="P106" s="2">
        <v>0</v>
      </c>
      <c r="Q106" s="2"/>
    </row>
    <row r="107" spans="2:17" x14ac:dyDescent="0.3">
      <c r="B107" s="2">
        <v>-1</v>
      </c>
      <c r="C107" s="2" t="s">
        <v>26</v>
      </c>
      <c r="D107" s="2">
        <v>58</v>
      </c>
      <c r="E107" s="2" t="s">
        <v>14</v>
      </c>
      <c r="F107" s="2" t="s">
        <v>15</v>
      </c>
      <c r="G107" s="2"/>
      <c r="H107" s="2">
        <v>1.3</v>
      </c>
      <c r="I107" s="2">
        <v>-19.8186</v>
      </c>
      <c r="J107" s="2">
        <v>1.0402</v>
      </c>
      <c r="K107" s="2">
        <v>0.122</v>
      </c>
      <c r="L107" s="2">
        <v>2.9999999999999997E-4</v>
      </c>
      <c r="M107" s="2">
        <v>-6.6199999999999995E-2</v>
      </c>
      <c r="N107" s="2">
        <v>-0.52200000000000002</v>
      </c>
      <c r="O107" s="2">
        <v>58</v>
      </c>
      <c r="P107" s="2">
        <v>1.3</v>
      </c>
      <c r="Q107" s="2"/>
    </row>
    <row r="108" spans="2:17" x14ac:dyDescent="0.3">
      <c r="B108" s="2">
        <v>-1</v>
      </c>
      <c r="C108" s="2" t="s">
        <v>26</v>
      </c>
      <c r="D108" s="2">
        <v>58</v>
      </c>
      <c r="E108" s="2" t="s">
        <v>14</v>
      </c>
      <c r="F108" s="2" t="s">
        <v>15</v>
      </c>
      <c r="G108" s="2"/>
      <c r="H108" s="2">
        <v>2.6</v>
      </c>
      <c r="I108" s="2">
        <v>-19.331099999999999</v>
      </c>
      <c r="J108" s="2">
        <v>1.0402</v>
      </c>
      <c r="K108" s="2">
        <v>0.122</v>
      </c>
      <c r="L108" s="2">
        <v>2.9999999999999997E-4</v>
      </c>
      <c r="M108" s="2">
        <v>-0.2248</v>
      </c>
      <c r="N108" s="2">
        <v>-1.8743000000000001</v>
      </c>
      <c r="O108" s="2">
        <v>58</v>
      </c>
      <c r="P108" s="2">
        <v>2.6</v>
      </c>
      <c r="Q108" s="2"/>
    </row>
    <row r="109" spans="2:17" x14ac:dyDescent="0.3">
      <c r="B109" s="2">
        <v>-1</v>
      </c>
      <c r="C109" s="2" t="s">
        <v>26</v>
      </c>
      <c r="D109" s="2">
        <v>58</v>
      </c>
      <c r="E109" s="2" t="s">
        <v>18</v>
      </c>
      <c r="F109" s="2" t="s">
        <v>15</v>
      </c>
      <c r="G109" s="2"/>
      <c r="H109" s="2">
        <v>0</v>
      </c>
      <c r="I109" s="2">
        <v>-16.4557</v>
      </c>
      <c r="J109" s="2">
        <v>0.95450000000000002</v>
      </c>
      <c r="K109" s="2">
        <v>7.4999999999999997E-2</v>
      </c>
      <c r="L109" s="2">
        <v>5.0000000000000001E-4</v>
      </c>
      <c r="M109" s="2">
        <v>5.2200000000000003E-2</v>
      </c>
      <c r="N109" s="2">
        <v>0.76439999999999997</v>
      </c>
      <c r="O109" s="2">
        <v>58</v>
      </c>
      <c r="P109" s="2">
        <v>0</v>
      </c>
      <c r="Q109" s="2"/>
    </row>
    <row r="110" spans="2:17" x14ac:dyDescent="0.3">
      <c r="B110" s="2">
        <v>-1</v>
      </c>
      <c r="C110" s="2" t="s">
        <v>26</v>
      </c>
      <c r="D110" s="2">
        <v>58</v>
      </c>
      <c r="E110" s="2" t="s">
        <v>18</v>
      </c>
      <c r="F110" s="2" t="s">
        <v>15</v>
      </c>
      <c r="G110" s="2"/>
      <c r="H110" s="2">
        <v>1.3</v>
      </c>
      <c r="I110" s="2">
        <v>-16.4557</v>
      </c>
      <c r="J110" s="2">
        <v>0.95450000000000002</v>
      </c>
      <c r="K110" s="2">
        <v>7.4999999999999997E-2</v>
      </c>
      <c r="L110" s="2">
        <v>5.0000000000000001E-4</v>
      </c>
      <c r="M110" s="2">
        <v>-4.53E-2</v>
      </c>
      <c r="N110" s="2">
        <v>-0.47639999999999999</v>
      </c>
      <c r="O110" s="2">
        <v>58</v>
      </c>
      <c r="P110" s="2">
        <v>1.3</v>
      </c>
      <c r="Q110" s="2"/>
    </row>
    <row r="111" spans="2:17" x14ac:dyDescent="0.3">
      <c r="B111" s="2">
        <v>-1</v>
      </c>
      <c r="C111" s="2" t="s">
        <v>26</v>
      </c>
      <c r="D111" s="2">
        <v>58</v>
      </c>
      <c r="E111" s="2" t="s">
        <v>18</v>
      </c>
      <c r="F111" s="2" t="s">
        <v>15</v>
      </c>
      <c r="G111" s="2"/>
      <c r="H111" s="2">
        <v>2.6</v>
      </c>
      <c r="I111" s="2">
        <v>-16.4557</v>
      </c>
      <c r="J111" s="2">
        <v>0.95450000000000002</v>
      </c>
      <c r="K111" s="2">
        <v>7.4999999999999997E-2</v>
      </c>
      <c r="L111" s="2">
        <v>5.0000000000000001E-4</v>
      </c>
      <c r="M111" s="2">
        <v>-0.14280000000000001</v>
      </c>
      <c r="N111" s="2">
        <v>-1.7172000000000001</v>
      </c>
      <c r="O111" s="2">
        <v>58</v>
      </c>
      <c r="P111" s="2">
        <v>2.6</v>
      </c>
      <c r="Q111" s="2"/>
    </row>
    <row r="112" spans="2:17" x14ac:dyDescent="0.3">
      <c r="B112" s="2">
        <v>-1</v>
      </c>
      <c r="C112" s="2" t="s">
        <v>26</v>
      </c>
      <c r="D112" s="2">
        <v>58</v>
      </c>
      <c r="E112" s="2" t="s">
        <v>19</v>
      </c>
      <c r="F112" s="2" t="s">
        <v>20</v>
      </c>
      <c r="G112" s="2" t="s">
        <v>21</v>
      </c>
      <c r="H112" s="2">
        <v>0</v>
      </c>
      <c r="I112" s="2">
        <v>0.2722</v>
      </c>
      <c r="J112" s="2">
        <v>0.35160000000000002</v>
      </c>
      <c r="K112" s="2">
        <v>0.1191</v>
      </c>
      <c r="L112" s="2">
        <v>3.3E-3</v>
      </c>
      <c r="M112" s="2">
        <v>0.1249</v>
      </c>
      <c r="N112" s="2">
        <v>0.53520000000000001</v>
      </c>
      <c r="O112" s="2">
        <v>58</v>
      </c>
      <c r="P112" s="2">
        <v>0</v>
      </c>
      <c r="Q112" s="2"/>
    </row>
    <row r="113" spans="2:17" x14ac:dyDescent="0.3">
      <c r="B113" s="2">
        <v>-1</v>
      </c>
      <c r="C113" s="2" t="s">
        <v>26</v>
      </c>
      <c r="D113" s="2">
        <v>58</v>
      </c>
      <c r="E113" s="2" t="s">
        <v>19</v>
      </c>
      <c r="F113" s="2" t="s">
        <v>20</v>
      </c>
      <c r="G113" s="2" t="s">
        <v>21</v>
      </c>
      <c r="H113" s="2">
        <v>1.3</v>
      </c>
      <c r="I113" s="2">
        <v>0.2722</v>
      </c>
      <c r="J113" s="2">
        <v>0.35160000000000002</v>
      </c>
      <c r="K113" s="2">
        <v>0.1191</v>
      </c>
      <c r="L113" s="2">
        <v>3.3E-3</v>
      </c>
      <c r="M113" s="2">
        <v>3.0800000000000001E-2</v>
      </c>
      <c r="N113" s="2">
        <v>8.1000000000000003E-2</v>
      </c>
      <c r="O113" s="2">
        <v>58</v>
      </c>
      <c r="P113" s="2">
        <v>1.3</v>
      </c>
      <c r="Q113" s="2"/>
    </row>
    <row r="114" spans="2:17" x14ac:dyDescent="0.3">
      <c r="B114" s="2">
        <v>-1</v>
      </c>
      <c r="C114" s="2" t="s">
        <v>26</v>
      </c>
      <c r="D114" s="2">
        <v>58</v>
      </c>
      <c r="E114" s="2" t="s">
        <v>19</v>
      </c>
      <c r="F114" s="2" t="s">
        <v>20</v>
      </c>
      <c r="G114" s="2" t="s">
        <v>21</v>
      </c>
      <c r="H114" s="2">
        <v>2.6</v>
      </c>
      <c r="I114" s="2">
        <v>0.2722</v>
      </c>
      <c r="J114" s="2">
        <v>0.35160000000000002</v>
      </c>
      <c r="K114" s="2">
        <v>0.1191</v>
      </c>
      <c r="L114" s="2">
        <v>3.3E-3</v>
      </c>
      <c r="M114" s="2">
        <v>0.185</v>
      </c>
      <c r="N114" s="2">
        <v>0.37990000000000002</v>
      </c>
      <c r="O114" s="2">
        <v>58</v>
      </c>
      <c r="P114" s="2">
        <v>2.6</v>
      </c>
      <c r="Q114" s="2"/>
    </row>
    <row r="115" spans="2:17" x14ac:dyDescent="0.3">
      <c r="B115" s="2">
        <v>-1</v>
      </c>
      <c r="C115" s="2" t="s">
        <v>26</v>
      </c>
      <c r="D115" s="2">
        <v>58</v>
      </c>
      <c r="E115" s="2" t="s">
        <v>22</v>
      </c>
      <c r="F115" s="2" t="s">
        <v>20</v>
      </c>
      <c r="G115" s="2" t="s">
        <v>21</v>
      </c>
      <c r="H115" s="2">
        <v>0</v>
      </c>
      <c r="I115" s="2">
        <v>0.2407</v>
      </c>
      <c r="J115" s="2">
        <v>0.13020000000000001</v>
      </c>
      <c r="K115" s="2">
        <v>0.24249999999999999</v>
      </c>
      <c r="L115" s="2">
        <v>6.9999999999999999E-4</v>
      </c>
      <c r="M115" s="2">
        <v>0.27910000000000001</v>
      </c>
      <c r="N115" s="2">
        <v>0.1232</v>
      </c>
      <c r="O115" s="2">
        <v>58</v>
      </c>
      <c r="P115" s="2">
        <v>0</v>
      </c>
      <c r="Q115" s="2"/>
    </row>
    <row r="116" spans="2:17" x14ac:dyDescent="0.3">
      <c r="B116" s="2">
        <v>-1</v>
      </c>
      <c r="C116" s="2" t="s">
        <v>26</v>
      </c>
      <c r="D116" s="2">
        <v>58</v>
      </c>
      <c r="E116" s="2" t="s">
        <v>22</v>
      </c>
      <c r="F116" s="2" t="s">
        <v>20</v>
      </c>
      <c r="G116" s="2" t="s">
        <v>21</v>
      </c>
      <c r="H116" s="2">
        <v>1.3</v>
      </c>
      <c r="I116" s="2">
        <v>0.2407</v>
      </c>
      <c r="J116" s="2">
        <v>0.13020000000000001</v>
      </c>
      <c r="K116" s="2">
        <v>0.24249999999999999</v>
      </c>
      <c r="L116" s="2">
        <v>6.9999999999999999E-4</v>
      </c>
      <c r="M116" s="2">
        <v>3.73E-2</v>
      </c>
      <c r="N116" s="2">
        <v>6.0699999999999997E-2</v>
      </c>
      <c r="O116" s="2">
        <v>58</v>
      </c>
      <c r="P116" s="2">
        <v>1.3</v>
      </c>
      <c r="Q116" s="2"/>
    </row>
    <row r="117" spans="2:17" x14ac:dyDescent="0.3">
      <c r="B117" s="2">
        <v>-1</v>
      </c>
      <c r="C117" s="2" t="s">
        <v>26</v>
      </c>
      <c r="D117" s="2">
        <v>58</v>
      </c>
      <c r="E117" s="2" t="s">
        <v>22</v>
      </c>
      <c r="F117" s="2" t="s">
        <v>20</v>
      </c>
      <c r="G117" s="2" t="s">
        <v>21</v>
      </c>
      <c r="H117" s="2">
        <v>2.6</v>
      </c>
      <c r="I117" s="2">
        <v>0.2407</v>
      </c>
      <c r="J117" s="2">
        <v>0.13020000000000001</v>
      </c>
      <c r="K117" s="2">
        <v>0.24249999999999999</v>
      </c>
      <c r="L117" s="2">
        <v>6.9999999999999999E-4</v>
      </c>
      <c r="M117" s="2">
        <v>0.3518</v>
      </c>
      <c r="N117" s="2">
        <v>0.2167</v>
      </c>
      <c r="O117" s="2">
        <v>58</v>
      </c>
      <c r="P117" s="2">
        <v>2.6</v>
      </c>
      <c r="Q117" s="2"/>
    </row>
    <row r="118" spans="2:17" x14ac:dyDescent="0.3">
      <c r="B118" s="2">
        <v>-1</v>
      </c>
      <c r="C118" s="2" t="s">
        <v>26</v>
      </c>
      <c r="D118" s="2">
        <v>58</v>
      </c>
      <c r="E118" s="2" t="s">
        <v>23</v>
      </c>
      <c r="F118" s="2" t="s">
        <v>24</v>
      </c>
      <c r="G118" s="2"/>
      <c r="H118" s="2">
        <v>0</v>
      </c>
      <c r="I118" s="2">
        <v>-28.4285</v>
      </c>
      <c r="J118" s="2">
        <v>1.4562999999999999</v>
      </c>
      <c r="K118" s="2">
        <v>0.17080000000000001</v>
      </c>
      <c r="L118" s="2">
        <v>4.0000000000000002E-4</v>
      </c>
      <c r="M118" s="2">
        <v>0.12939999999999999</v>
      </c>
      <c r="N118" s="2">
        <v>1.1624000000000001</v>
      </c>
      <c r="O118" s="2">
        <v>58</v>
      </c>
      <c r="P118" s="2">
        <v>0</v>
      </c>
      <c r="Q118" s="2"/>
    </row>
    <row r="119" spans="2:17" x14ac:dyDescent="0.3">
      <c r="B119" s="2">
        <v>-1</v>
      </c>
      <c r="C119" s="2" t="s">
        <v>26</v>
      </c>
      <c r="D119" s="2">
        <v>58</v>
      </c>
      <c r="E119" s="2" t="s">
        <v>23</v>
      </c>
      <c r="F119" s="2" t="s">
        <v>24</v>
      </c>
      <c r="G119" s="2"/>
      <c r="H119" s="2">
        <v>1.3</v>
      </c>
      <c r="I119" s="2">
        <v>-27.745999999999999</v>
      </c>
      <c r="J119" s="2">
        <v>1.4562999999999999</v>
      </c>
      <c r="K119" s="2">
        <v>0.17080000000000001</v>
      </c>
      <c r="L119" s="2">
        <v>4.0000000000000002E-4</v>
      </c>
      <c r="M119" s="2">
        <v>-9.2700000000000005E-2</v>
      </c>
      <c r="N119" s="2">
        <v>-0.73080000000000001</v>
      </c>
      <c r="O119" s="2">
        <v>58</v>
      </c>
      <c r="P119" s="2">
        <v>1.3</v>
      </c>
      <c r="Q119" s="2"/>
    </row>
    <row r="120" spans="2:17" x14ac:dyDescent="0.3">
      <c r="B120" s="2">
        <v>-1</v>
      </c>
      <c r="C120" s="2" t="s">
        <v>26</v>
      </c>
      <c r="D120" s="2">
        <v>58</v>
      </c>
      <c r="E120" s="2" t="s">
        <v>23</v>
      </c>
      <c r="F120" s="2" t="s">
        <v>24</v>
      </c>
      <c r="G120" s="2"/>
      <c r="H120" s="2">
        <v>2.6</v>
      </c>
      <c r="I120" s="2">
        <v>-27.063500000000001</v>
      </c>
      <c r="J120" s="2">
        <v>1.4562999999999999</v>
      </c>
      <c r="K120" s="2">
        <v>0.17080000000000001</v>
      </c>
      <c r="L120" s="2">
        <v>4.0000000000000002E-4</v>
      </c>
      <c r="M120" s="2">
        <v>-0.31469999999999998</v>
      </c>
      <c r="N120" s="2">
        <v>-2.6240000000000001</v>
      </c>
      <c r="O120" s="2">
        <v>58</v>
      </c>
      <c r="P120" s="2">
        <v>2.6</v>
      </c>
      <c r="Q120" s="2"/>
    </row>
    <row r="121" spans="2:17" x14ac:dyDescent="0.3">
      <c r="B121" s="2">
        <v>-1</v>
      </c>
      <c r="C121" s="2" t="s">
        <v>26</v>
      </c>
      <c r="D121" s="2">
        <v>58</v>
      </c>
      <c r="E121" s="2" t="s">
        <v>25</v>
      </c>
      <c r="F121" s="2" t="s">
        <v>24</v>
      </c>
      <c r="G121" s="2"/>
      <c r="H121" s="2">
        <v>0</v>
      </c>
      <c r="I121" s="2">
        <v>-50.696399999999997</v>
      </c>
      <c r="J121" s="2">
        <v>2.7753999999999999</v>
      </c>
      <c r="K121" s="2">
        <v>0.26640000000000003</v>
      </c>
      <c r="L121" s="2">
        <v>1.1000000000000001E-3</v>
      </c>
      <c r="M121" s="2">
        <v>0.1943</v>
      </c>
      <c r="N121" s="2">
        <v>2.2193999999999998</v>
      </c>
      <c r="O121" s="2">
        <v>58</v>
      </c>
      <c r="P121" s="2">
        <v>0</v>
      </c>
      <c r="Q121" s="2"/>
    </row>
    <row r="122" spans="2:17" x14ac:dyDescent="0.3">
      <c r="B122" s="2">
        <v>-1</v>
      </c>
      <c r="C122" s="2" t="s">
        <v>26</v>
      </c>
      <c r="D122" s="2">
        <v>58</v>
      </c>
      <c r="E122" s="2" t="s">
        <v>25</v>
      </c>
      <c r="F122" s="2" t="s">
        <v>24</v>
      </c>
      <c r="G122" s="2"/>
      <c r="H122" s="2">
        <v>1.3</v>
      </c>
      <c r="I122" s="2">
        <v>-50.111400000000003</v>
      </c>
      <c r="J122" s="2">
        <v>2.7753999999999999</v>
      </c>
      <c r="K122" s="2">
        <v>0.26640000000000003</v>
      </c>
      <c r="L122" s="2">
        <v>1.1000000000000001E-3</v>
      </c>
      <c r="M122" s="2">
        <v>-0.152</v>
      </c>
      <c r="N122" s="2">
        <v>-1.3886000000000001</v>
      </c>
      <c r="O122" s="2">
        <v>58</v>
      </c>
      <c r="P122" s="2">
        <v>1.3</v>
      </c>
      <c r="Q122" s="2"/>
    </row>
    <row r="123" spans="2:17" x14ac:dyDescent="0.3">
      <c r="B123" s="2">
        <v>-1</v>
      </c>
      <c r="C123" s="2" t="s">
        <v>26</v>
      </c>
      <c r="D123" s="2">
        <v>58</v>
      </c>
      <c r="E123" s="2" t="s">
        <v>25</v>
      </c>
      <c r="F123" s="2" t="s">
        <v>24</v>
      </c>
      <c r="G123" s="2"/>
      <c r="H123" s="2">
        <v>2.6</v>
      </c>
      <c r="I123" s="2">
        <v>-49.526400000000002</v>
      </c>
      <c r="J123" s="2">
        <v>2.7753999999999999</v>
      </c>
      <c r="K123" s="2">
        <v>0.26640000000000003</v>
      </c>
      <c r="L123" s="2">
        <v>1.1000000000000001E-3</v>
      </c>
      <c r="M123" s="2">
        <v>-0.49830000000000002</v>
      </c>
      <c r="N123" s="2">
        <v>-4.9965999999999999</v>
      </c>
      <c r="O123" s="2">
        <v>58</v>
      </c>
      <c r="P123" s="2">
        <v>2.6</v>
      </c>
      <c r="Q123" s="2"/>
    </row>
    <row r="124" spans="2:17" x14ac:dyDescent="0.3">
      <c r="B124" s="2">
        <v>-1</v>
      </c>
      <c r="C124" s="2" t="s">
        <v>26</v>
      </c>
      <c r="D124" s="2">
        <v>58</v>
      </c>
      <c r="E124" s="2" t="s">
        <v>26</v>
      </c>
      <c r="F124" s="2" t="s">
        <v>24</v>
      </c>
      <c r="G124" s="2" t="s">
        <v>21</v>
      </c>
      <c r="H124" s="2">
        <v>0</v>
      </c>
      <c r="I124" s="2">
        <v>-17.894400000000001</v>
      </c>
      <c r="J124" s="2">
        <v>1.4283999999999999</v>
      </c>
      <c r="K124" s="2">
        <v>0.27650000000000002</v>
      </c>
      <c r="L124" s="2">
        <v>4.8999999999999998E-3</v>
      </c>
      <c r="M124" s="2">
        <v>0.25800000000000001</v>
      </c>
      <c r="N124" s="2">
        <v>1.4965999999999999</v>
      </c>
      <c r="O124" s="2">
        <v>58</v>
      </c>
      <c r="P124" s="2">
        <v>0</v>
      </c>
      <c r="Q124" s="2"/>
    </row>
    <row r="125" spans="2:17" x14ac:dyDescent="0.3">
      <c r="B125" s="2">
        <v>-1</v>
      </c>
      <c r="C125" s="2" t="s">
        <v>26</v>
      </c>
      <c r="D125" s="2">
        <v>58</v>
      </c>
      <c r="E125" s="2" t="s">
        <v>26</v>
      </c>
      <c r="F125" s="2" t="s">
        <v>24</v>
      </c>
      <c r="G125" s="2" t="s">
        <v>21</v>
      </c>
      <c r="H125" s="2">
        <v>1.3</v>
      </c>
      <c r="I125" s="2">
        <v>-17.4557</v>
      </c>
      <c r="J125" s="2">
        <v>1.4283999999999999</v>
      </c>
      <c r="K125" s="2">
        <v>0.27650000000000002</v>
      </c>
      <c r="L125" s="2">
        <v>4.8999999999999998E-3</v>
      </c>
      <c r="M125" s="2">
        <v>-1.6400000000000001E-2</v>
      </c>
      <c r="N125" s="2">
        <v>-0.35639999999999999</v>
      </c>
      <c r="O125" s="2">
        <v>58</v>
      </c>
      <c r="P125" s="2">
        <v>1.3</v>
      </c>
      <c r="Q125" s="2"/>
    </row>
    <row r="126" spans="2:17" x14ac:dyDescent="0.3">
      <c r="B126" s="2">
        <v>-1</v>
      </c>
      <c r="C126" s="2" t="s">
        <v>26</v>
      </c>
      <c r="D126" s="2">
        <v>58</v>
      </c>
      <c r="E126" s="2" t="s">
        <v>26</v>
      </c>
      <c r="F126" s="2" t="s">
        <v>24</v>
      </c>
      <c r="G126" s="2" t="s">
        <v>21</v>
      </c>
      <c r="H126" s="2">
        <v>2.6</v>
      </c>
      <c r="I126" s="2">
        <v>-17.0169</v>
      </c>
      <c r="J126" s="2">
        <v>1.4283999999999999</v>
      </c>
      <c r="K126" s="2">
        <v>0.27650000000000002</v>
      </c>
      <c r="L126" s="2">
        <v>4.8999999999999998E-3</v>
      </c>
      <c r="M126" s="2">
        <v>5.67E-2</v>
      </c>
      <c r="N126" s="2">
        <v>-1.155</v>
      </c>
      <c r="O126" s="2">
        <v>58</v>
      </c>
      <c r="P126" s="2">
        <v>2.6</v>
      </c>
      <c r="Q126" s="2"/>
    </row>
    <row r="127" spans="2:17" x14ac:dyDescent="0.3">
      <c r="B127" s="2">
        <v>-1</v>
      </c>
      <c r="C127" s="2" t="s">
        <v>26</v>
      </c>
      <c r="D127" s="2">
        <v>58</v>
      </c>
      <c r="E127" s="2" t="s">
        <v>26</v>
      </c>
      <c r="F127" s="2" t="s">
        <v>24</v>
      </c>
      <c r="G127" s="2" t="s">
        <v>27</v>
      </c>
      <c r="H127" s="2">
        <v>0</v>
      </c>
      <c r="I127" s="2">
        <v>-18.656500000000001</v>
      </c>
      <c r="J127" s="2">
        <v>0.44400000000000001</v>
      </c>
      <c r="K127" s="2">
        <v>-5.6899999999999999E-2</v>
      </c>
      <c r="L127" s="2">
        <v>-4.4000000000000003E-3</v>
      </c>
      <c r="M127" s="2">
        <v>-9.1700000000000004E-2</v>
      </c>
      <c r="N127" s="2">
        <v>-2E-3</v>
      </c>
      <c r="O127" s="2">
        <v>58</v>
      </c>
      <c r="P127" s="2">
        <v>0</v>
      </c>
      <c r="Q127" s="2"/>
    </row>
    <row r="128" spans="2:17" x14ac:dyDescent="0.3">
      <c r="B128" s="2">
        <v>-1</v>
      </c>
      <c r="C128" s="2" t="s">
        <v>26</v>
      </c>
      <c r="D128" s="2">
        <v>58</v>
      </c>
      <c r="E128" s="2" t="s">
        <v>26</v>
      </c>
      <c r="F128" s="2" t="s">
        <v>24</v>
      </c>
      <c r="G128" s="2" t="s">
        <v>27</v>
      </c>
      <c r="H128" s="2">
        <v>1.3</v>
      </c>
      <c r="I128" s="2">
        <v>-18.2178</v>
      </c>
      <c r="J128" s="2">
        <v>0.44400000000000001</v>
      </c>
      <c r="K128" s="2">
        <v>-5.6899999999999999E-2</v>
      </c>
      <c r="L128" s="2">
        <v>-4.4000000000000003E-3</v>
      </c>
      <c r="M128" s="2">
        <v>-0.1027</v>
      </c>
      <c r="N128" s="2">
        <v>-0.58320000000000005</v>
      </c>
      <c r="O128" s="2">
        <v>58</v>
      </c>
      <c r="P128" s="2">
        <v>1.3</v>
      </c>
      <c r="Q128" s="2"/>
    </row>
    <row r="129" spans="2:17" x14ac:dyDescent="0.3">
      <c r="B129" s="2">
        <v>-1</v>
      </c>
      <c r="C129" s="2" t="s">
        <v>26</v>
      </c>
      <c r="D129" s="2">
        <v>58</v>
      </c>
      <c r="E129" s="2" t="s">
        <v>26</v>
      </c>
      <c r="F129" s="2" t="s">
        <v>24</v>
      </c>
      <c r="G129" s="2" t="s">
        <v>27</v>
      </c>
      <c r="H129" s="2">
        <v>2.6</v>
      </c>
      <c r="I129" s="2">
        <v>-17.779</v>
      </c>
      <c r="J129" s="2">
        <v>0.44400000000000001</v>
      </c>
      <c r="K129" s="2">
        <v>-5.6899999999999999E-2</v>
      </c>
      <c r="L129" s="2">
        <v>-4.4000000000000003E-3</v>
      </c>
      <c r="M129" s="2">
        <v>-0.46129999999999999</v>
      </c>
      <c r="N129" s="2">
        <v>-2.2187000000000001</v>
      </c>
      <c r="O129" s="2">
        <v>58</v>
      </c>
      <c r="P129" s="2">
        <v>2.6</v>
      </c>
      <c r="Q129" s="2"/>
    </row>
    <row r="130" spans="2:17" x14ac:dyDescent="0.3">
      <c r="B130" s="2">
        <v>-1</v>
      </c>
      <c r="C130" s="2" t="s">
        <v>26</v>
      </c>
      <c r="D130" s="2">
        <v>58</v>
      </c>
      <c r="E130" s="2" t="s">
        <v>28</v>
      </c>
      <c r="F130" s="2" t="s">
        <v>24</v>
      </c>
      <c r="G130" s="2" t="s">
        <v>21</v>
      </c>
      <c r="H130" s="2">
        <v>0</v>
      </c>
      <c r="I130" s="2">
        <v>-40.442</v>
      </c>
      <c r="J130" s="2">
        <v>2.6949000000000001</v>
      </c>
      <c r="K130" s="2">
        <v>0.3881</v>
      </c>
      <c r="L130" s="2">
        <v>5.4000000000000003E-3</v>
      </c>
      <c r="M130" s="2">
        <v>0.33789999999999998</v>
      </c>
      <c r="N130" s="2">
        <v>2.5101</v>
      </c>
      <c r="O130" s="2">
        <v>58</v>
      </c>
      <c r="P130" s="2">
        <v>0</v>
      </c>
      <c r="Q130" s="2"/>
    </row>
    <row r="131" spans="2:17" x14ac:dyDescent="0.3">
      <c r="B131" s="2">
        <v>-1</v>
      </c>
      <c r="C131" s="2" t="s">
        <v>26</v>
      </c>
      <c r="D131" s="2">
        <v>58</v>
      </c>
      <c r="E131" s="2" t="s">
        <v>28</v>
      </c>
      <c r="F131" s="2" t="s">
        <v>24</v>
      </c>
      <c r="G131" s="2" t="s">
        <v>21</v>
      </c>
      <c r="H131" s="2">
        <v>1.3</v>
      </c>
      <c r="I131" s="2">
        <v>-39.856999999999999</v>
      </c>
      <c r="J131" s="2">
        <v>2.6949000000000001</v>
      </c>
      <c r="K131" s="2">
        <v>0.3881</v>
      </c>
      <c r="L131" s="2">
        <v>5.4000000000000003E-3</v>
      </c>
      <c r="M131" s="2">
        <v>-8.1600000000000006E-2</v>
      </c>
      <c r="N131" s="2">
        <v>-0.98939999999999995</v>
      </c>
      <c r="O131" s="2">
        <v>58</v>
      </c>
      <c r="P131" s="2">
        <v>1.3</v>
      </c>
      <c r="Q131" s="2"/>
    </row>
    <row r="132" spans="2:17" x14ac:dyDescent="0.3">
      <c r="B132" s="2">
        <v>-1</v>
      </c>
      <c r="C132" s="2" t="s">
        <v>26</v>
      </c>
      <c r="D132" s="2">
        <v>58</v>
      </c>
      <c r="E132" s="2" t="s">
        <v>28</v>
      </c>
      <c r="F132" s="2" t="s">
        <v>24</v>
      </c>
      <c r="G132" s="2" t="s">
        <v>21</v>
      </c>
      <c r="H132" s="2">
        <v>2.6</v>
      </c>
      <c r="I132" s="2">
        <v>-39.271999999999998</v>
      </c>
      <c r="J132" s="2">
        <v>2.6949000000000001</v>
      </c>
      <c r="K132" s="2">
        <v>0.3881</v>
      </c>
      <c r="L132" s="2">
        <v>5.4000000000000003E-3</v>
      </c>
      <c r="M132" s="2">
        <v>-0.15359999999999999</v>
      </c>
      <c r="N132" s="2">
        <v>-3.4344999999999999</v>
      </c>
      <c r="O132" s="2">
        <v>58</v>
      </c>
      <c r="P132" s="2">
        <v>2.6</v>
      </c>
      <c r="Q132" s="2"/>
    </row>
    <row r="133" spans="2:17" x14ac:dyDescent="0.3">
      <c r="B133" s="2">
        <v>-1</v>
      </c>
      <c r="C133" s="2" t="s">
        <v>26</v>
      </c>
      <c r="D133" s="2">
        <v>58</v>
      </c>
      <c r="E133" s="2" t="s">
        <v>28</v>
      </c>
      <c r="F133" s="2" t="s">
        <v>24</v>
      </c>
      <c r="G133" s="2" t="s">
        <v>27</v>
      </c>
      <c r="H133" s="2">
        <v>0</v>
      </c>
      <c r="I133" s="2">
        <v>-41.204099999999997</v>
      </c>
      <c r="J133" s="2">
        <v>1.7104999999999999</v>
      </c>
      <c r="K133" s="2">
        <v>5.4699999999999999E-2</v>
      </c>
      <c r="L133" s="2">
        <v>-3.8E-3</v>
      </c>
      <c r="M133" s="2">
        <v>-1.18E-2</v>
      </c>
      <c r="N133" s="2">
        <v>1.0115000000000001</v>
      </c>
      <c r="O133" s="2">
        <v>58</v>
      </c>
      <c r="P133" s="2">
        <v>0</v>
      </c>
      <c r="Q133" s="2"/>
    </row>
    <row r="134" spans="2:17" x14ac:dyDescent="0.3">
      <c r="B134" s="2">
        <v>-1</v>
      </c>
      <c r="C134" s="2" t="s">
        <v>26</v>
      </c>
      <c r="D134" s="2">
        <v>58</v>
      </c>
      <c r="E134" s="2" t="s">
        <v>28</v>
      </c>
      <c r="F134" s="2" t="s">
        <v>24</v>
      </c>
      <c r="G134" s="2" t="s">
        <v>27</v>
      </c>
      <c r="H134" s="2">
        <v>1.3</v>
      </c>
      <c r="I134" s="2">
        <v>-40.619100000000003</v>
      </c>
      <c r="J134" s="2">
        <v>1.7104999999999999</v>
      </c>
      <c r="K134" s="2">
        <v>5.4699999999999999E-2</v>
      </c>
      <c r="L134" s="2">
        <v>-3.8E-3</v>
      </c>
      <c r="M134" s="2">
        <v>-0.16789999999999999</v>
      </c>
      <c r="N134" s="2">
        <v>-1.2161999999999999</v>
      </c>
      <c r="O134" s="2">
        <v>58</v>
      </c>
      <c r="P134" s="2">
        <v>1.3</v>
      </c>
      <c r="Q134" s="2"/>
    </row>
    <row r="135" spans="2:17" x14ac:dyDescent="0.3">
      <c r="B135" s="2">
        <v>-1</v>
      </c>
      <c r="C135" s="2" t="s">
        <v>26</v>
      </c>
      <c r="D135" s="2">
        <v>58</v>
      </c>
      <c r="E135" s="2" t="s">
        <v>28</v>
      </c>
      <c r="F135" s="2" t="s">
        <v>24</v>
      </c>
      <c r="G135" s="2" t="s">
        <v>27</v>
      </c>
      <c r="H135" s="2">
        <v>2.6</v>
      </c>
      <c r="I135" s="2">
        <v>-40.034100000000002</v>
      </c>
      <c r="J135" s="2">
        <v>1.7104999999999999</v>
      </c>
      <c r="K135" s="2">
        <v>5.4699999999999999E-2</v>
      </c>
      <c r="L135" s="2">
        <v>-3.8E-3</v>
      </c>
      <c r="M135" s="2">
        <v>-0.67159999999999997</v>
      </c>
      <c r="N135" s="2">
        <v>-4.4981999999999998</v>
      </c>
      <c r="O135" s="2">
        <v>58</v>
      </c>
      <c r="P135" s="2">
        <v>2.6</v>
      </c>
      <c r="Q135" s="2"/>
    </row>
    <row r="136" spans="2:17" x14ac:dyDescent="0.3">
      <c r="B136" s="2">
        <v>-1</v>
      </c>
      <c r="C136" s="2" t="s">
        <v>26</v>
      </c>
      <c r="D136" s="2">
        <v>58</v>
      </c>
      <c r="E136" s="2" t="s">
        <v>29</v>
      </c>
      <c r="F136" s="2" t="s">
        <v>24</v>
      </c>
      <c r="G136" s="2" t="s">
        <v>21</v>
      </c>
      <c r="H136" s="2">
        <v>0</v>
      </c>
      <c r="I136" s="2">
        <v>-40.485999999999997</v>
      </c>
      <c r="J136" s="2">
        <v>2.3849</v>
      </c>
      <c r="K136" s="2">
        <v>0.56100000000000005</v>
      </c>
      <c r="L136" s="2">
        <v>1.8E-3</v>
      </c>
      <c r="M136" s="2">
        <v>0.55369999999999997</v>
      </c>
      <c r="N136" s="2">
        <v>1.9333</v>
      </c>
      <c r="O136" s="2">
        <v>58</v>
      </c>
      <c r="P136" s="2">
        <v>0</v>
      </c>
      <c r="Q136" s="2"/>
    </row>
    <row r="137" spans="2:17" x14ac:dyDescent="0.3">
      <c r="B137" s="2">
        <v>-1</v>
      </c>
      <c r="C137" s="2" t="s">
        <v>26</v>
      </c>
      <c r="D137" s="2">
        <v>58</v>
      </c>
      <c r="E137" s="2" t="s">
        <v>29</v>
      </c>
      <c r="F137" s="2" t="s">
        <v>24</v>
      </c>
      <c r="G137" s="2" t="s">
        <v>21</v>
      </c>
      <c r="H137" s="2">
        <v>1.3</v>
      </c>
      <c r="I137" s="2">
        <v>-39.901000000000003</v>
      </c>
      <c r="J137" s="2">
        <v>2.3849</v>
      </c>
      <c r="K137" s="2">
        <v>0.56100000000000005</v>
      </c>
      <c r="L137" s="2">
        <v>1.8E-3</v>
      </c>
      <c r="M137" s="2">
        <v>-7.2599999999999998E-2</v>
      </c>
      <c r="N137" s="2">
        <v>-1.0178</v>
      </c>
      <c r="O137" s="2">
        <v>58</v>
      </c>
      <c r="P137" s="2">
        <v>1.3</v>
      </c>
      <c r="Q137" s="2"/>
    </row>
    <row r="138" spans="2:17" x14ac:dyDescent="0.3">
      <c r="B138" s="2">
        <v>-1</v>
      </c>
      <c r="C138" s="2" t="s">
        <v>26</v>
      </c>
      <c r="D138" s="2">
        <v>58</v>
      </c>
      <c r="E138" s="2" t="s">
        <v>29</v>
      </c>
      <c r="F138" s="2" t="s">
        <v>24</v>
      </c>
      <c r="G138" s="2" t="s">
        <v>21</v>
      </c>
      <c r="H138" s="2">
        <v>2.6</v>
      </c>
      <c r="I138" s="2">
        <v>-39.316000000000003</v>
      </c>
      <c r="J138" s="2">
        <v>2.3849</v>
      </c>
      <c r="K138" s="2">
        <v>0.56100000000000005</v>
      </c>
      <c r="L138" s="2">
        <v>1.8E-3</v>
      </c>
      <c r="M138" s="2">
        <v>7.9899999999999999E-2</v>
      </c>
      <c r="N138" s="2">
        <v>-3.6629</v>
      </c>
      <c r="O138" s="2">
        <v>58</v>
      </c>
      <c r="P138" s="2">
        <v>2.6</v>
      </c>
      <c r="Q138" s="2"/>
    </row>
    <row r="139" spans="2:17" x14ac:dyDescent="0.3">
      <c r="B139" s="2">
        <v>-1</v>
      </c>
      <c r="C139" s="2" t="s">
        <v>26</v>
      </c>
      <c r="D139" s="2">
        <v>58</v>
      </c>
      <c r="E139" s="2" t="s">
        <v>29</v>
      </c>
      <c r="F139" s="2" t="s">
        <v>24</v>
      </c>
      <c r="G139" s="2" t="s">
        <v>27</v>
      </c>
      <c r="H139" s="2">
        <v>0</v>
      </c>
      <c r="I139" s="2">
        <v>-41.16</v>
      </c>
      <c r="J139" s="2">
        <v>2.0205000000000002</v>
      </c>
      <c r="K139" s="2">
        <v>-0.1182</v>
      </c>
      <c r="L139" s="2">
        <v>-2.0000000000000001E-4</v>
      </c>
      <c r="M139" s="2">
        <v>-0.22770000000000001</v>
      </c>
      <c r="N139" s="2">
        <v>1.5883</v>
      </c>
      <c r="O139" s="2">
        <v>58</v>
      </c>
      <c r="P139" s="2">
        <v>0</v>
      </c>
      <c r="Q139" s="2"/>
    </row>
    <row r="140" spans="2:17" x14ac:dyDescent="0.3">
      <c r="B140" s="2">
        <v>-1</v>
      </c>
      <c r="C140" s="2" t="s">
        <v>26</v>
      </c>
      <c r="D140" s="2">
        <v>58</v>
      </c>
      <c r="E140" s="2" t="s">
        <v>29</v>
      </c>
      <c r="F140" s="2" t="s">
        <v>24</v>
      </c>
      <c r="G140" s="2" t="s">
        <v>27</v>
      </c>
      <c r="H140" s="2">
        <v>1.3</v>
      </c>
      <c r="I140" s="2">
        <v>-40.575000000000003</v>
      </c>
      <c r="J140" s="2">
        <v>2.0205000000000002</v>
      </c>
      <c r="K140" s="2">
        <v>-0.1182</v>
      </c>
      <c r="L140" s="2">
        <v>-2.0000000000000001E-4</v>
      </c>
      <c r="M140" s="2">
        <v>-0.1769</v>
      </c>
      <c r="N140" s="2">
        <v>-1.1878</v>
      </c>
      <c r="O140" s="2">
        <v>58</v>
      </c>
      <c r="P140" s="2">
        <v>1.3</v>
      </c>
      <c r="Q140" s="2"/>
    </row>
    <row r="141" spans="2:17" x14ac:dyDescent="0.3">
      <c r="B141" s="2">
        <v>-1</v>
      </c>
      <c r="C141" s="2" t="s">
        <v>26</v>
      </c>
      <c r="D141" s="2">
        <v>58</v>
      </c>
      <c r="E141" s="2" t="s">
        <v>29</v>
      </c>
      <c r="F141" s="2" t="s">
        <v>24</v>
      </c>
      <c r="G141" s="2" t="s">
        <v>27</v>
      </c>
      <c r="H141" s="2">
        <v>2.6</v>
      </c>
      <c r="I141" s="2">
        <v>-39.99</v>
      </c>
      <c r="J141" s="2">
        <v>2.0205000000000002</v>
      </c>
      <c r="K141" s="2">
        <v>-0.1182</v>
      </c>
      <c r="L141" s="2">
        <v>-2.0000000000000001E-4</v>
      </c>
      <c r="M141" s="2">
        <v>-0.90500000000000003</v>
      </c>
      <c r="N141" s="2">
        <v>-4.2697000000000003</v>
      </c>
      <c r="O141" s="2">
        <v>58</v>
      </c>
      <c r="P141" s="2">
        <v>2.6</v>
      </c>
      <c r="Q141" s="2"/>
    </row>
    <row r="142" spans="2:17" x14ac:dyDescent="0.3">
      <c r="B142" s="2">
        <v>-1</v>
      </c>
      <c r="C142" s="2" t="s">
        <v>26</v>
      </c>
      <c r="D142" s="2">
        <v>58</v>
      </c>
      <c r="E142" s="2" t="s">
        <v>30</v>
      </c>
      <c r="F142" s="2" t="s">
        <v>24</v>
      </c>
      <c r="G142" s="2" t="s">
        <v>21</v>
      </c>
      <c r="H142" s="2">
        <v>0</v>
      </c>
      <c r="I142" s="2">
        <v>-17.894400000000001</v>
      </c>
      <c r="J142" s="2">
        <v>2.7753999999999999</v>
      </c>
      <c r="K142" s="2">
        <v>0.56100000000000005</v>
      </c>
      <c r="L142" s="2">
        <v>5.4000000000000003E-3</v>
      </c>
      <c r="M142" s="2">
        <v>0.55369999999999997</v>
      </c>
      <c r="N142" s="2">
        <v>2.5101</v>
      </c>
      <c r="O142" s="2">
        <v>58</v>
      </c>
      <c r="P142" s="2">
        <v>0</v>
      </c>
      <c r="Q142" s="2"/>
    </row>
    <row r="143" spans="2:17" x14ac:dyDescent="0.3">
      <c r="B143" s="2">
        <v>-1</v>
      </c>
      <c r="C143" s="2" t="s">
        <v>26</v>
      </c>
      <c r="D143" s="2">
        <v>58</v>
      </c>
      <c r="E143" s="2" t="s">
        <v>30</v>
      </c>
      <c r="F143" s="2" t="s">
        <v>24</v>
      </c>
      <c r="G143" s="2" t="s">
        <v>21</v>
      </c>
      <c r="H143" s="2">
        <v>1.3</v>
      </c>
      <c r="I143" s="2">
        <v>-17.4557</v>
      </c>
      <c r="J143" s="2">
        <v>2.7753999999999999</v>
      </c>
      <c r="K143" s="2">
        <v>0.56100000000000005</v>
      </c>
      <c r="L143" s="2">
        <v>5.4000000000000003E-3</v>
      </c>
      <c r="M143" s="2">
        <v>-7.4000000000000003E-3</v>
      </c>
      <c r="N143" s="2">
        <v>-0.35639999999999999</v>
      </c>
      <c r="O143" s="2">
        <v>58</v>
      </c>
      <c r="P143" s="2">
        <v>1.3</v>
      </c>
      <c r="Q143" s="2"/>
    </row>
    <row r="144" spans="2:17" x14ac:dyDescent="0.3">
      <c r="B144" s="2">
        <v>-1</v>
      </c>
      <c r="C144" s="2" t="s">
        <v>26</v>
      </c>
      <c r="D144" s="2">
        <v>58</v>
      </c>
      <c r="E144" s="2" t="s">
        <v>30</v>
      </c>
      <c r="F144" s="2" t="s">
        <v>24</v>
      </c>
      <c r="G144" s="2" t="s">
        <v>21</v>
      </c>
      <c r="H144" s="2">
        <v>2.6</v>
      </c>
      <c r="I144" s="2">
        <v>-17.0169</v>
      </c>
      <c r="J144" s="2">
        <v>2.7753999999999999</v>
      </c>
      <c r="K144" s="2">
        <v>0.56100000000000005</v>
      </c>
      <c r="L144" s="2">
        <v>5.4000000000000003E-3</v>
      </c>
      <c r="M144" s="2">
        <v>0.29010000000000002</v>
      </c>
      <c r="N144" s="2">
        <v>-1.155</v>
      </c>
      <c r="O144" s="2">
        <v>58</v>
      </c>
      <c r="P144" s="2">
        <v>2.6</v>
      </c>
      <c r="Q144" s="2"/>
    </row>
    <row r="145" spans="2:17" x14ac:dyDescent="0.3">
      <c r="B145" s="2">
        <v>-1</v>
      </c>
      <c r="C145" s="2" t="s">
        <v>26</v>
      </c>
      <c r="D145" s="2">
        <v>58</v>
      </c>
      <c r="E145" s="2" t="s">
        <v>30</v>
      </c>
      <c r="F145" s="2" t="s">
        <v>24</v>
      </c>
      <c r="G145" s="2" t="s">
        <v>27</v>
      </c>
      <c r="H145" s="2">
        <v>0</v>
      </c>
      <c r="I145" s="2">
        <v>-50.696399999999997</v>
      </c>
      <c r="J145" s="2">
        <v>0.44400000000000001</v>
      </c>
      <c r="K145" s="2">
        <v>-0.2298</v>
      </c>
      <c r="L145" s="2">
        <v>-4.4000000000000003E-3</v>
      </c>
      <c r="M145" s="2">
        <v>-0.3075</v>
      </c>
      <c r="N145" s="2">
        <v>-2E-3</v>
      </c>
      <c r="O145" s="2">
        <v>58</v>
      </c>
      <c r="P145" s="2">
        <v>0</v>
      </c>
      <c r="Q145" s="2"/>
    </row>
    <row r="146" spans="2:17" x14ac:dyDescent="0.3">
      <c r="B146" s="2">
        <v>-1</v>
      </c>
      <c r="C146" s="2" t="s">
        <v>26</v>
      </c>
      <c r="D146" s="2">
        <v>58</v>
      </c>
      <c r="E146" s="2" t="s">
        <v>30</v>
      </c>
      <c r="F146" s="2" t="s">
        <v>24</v>
      </c>
      <c r="G146" s="2" t="s">
        <v>27</v>
      </c>
      <c r="H146" s="2">
        <v>1.3</v>
      </c>
      <c r="I146" s="2">
        <v>-50.111400000000003</v>
      </c>
      <c r="J146" s="2">
        <v>0.44400000000000001</v>
      </c>
      <c r="K146" s="2">
        <v>-0.2298</v>
      </c>
      <c r="L146" s="2">
        <v>-4.4000000000000003E-3</v>
      </c>
      <c r="M146" s="2">
        <v>-0.1769</v>
      </c>
      <c r="N146" s="2">
        <v>-1.3886000000000001</v>
      </c>
      <c r="O146" s="2">
        <v>58</v>
      </c>
      <c r="P146" s="2">
        <v>1.3</v>
      </c>
      <c r="Q146" s="2"/>
    </row>
    <row r="147" spans="2:17" x14ac:dyDescent="0.3">
      <c r="B147" s="2">
        <v>-1</v>
      </c>
      <c r="C147" s="2" t="s">
        <v>26</v>
      </c>
      <c r="D147" s="2">
        <v>58</v>
      </c>
      <c r="E147" s="2" t="s">
        <v>30</v>
      </c>
      <c r="F147" s="2" t="s">
        <v>24</v>
      </c>
      <c r="G147" s="2" t="s">
        <v>27</v>
      </c>
      <c r="H147" s="2">
        <v>2.6</v>
      </c>
      <c r="I147" s="2">
        <v>-49.526400000000002</v>
      </c>
      <c r="J147" s="2">
        <v>0.44400000000000001</v>
      </c>
      <c r="K147" s="2">
        <v>-0.2298</v>
      </c>
      <c r="L147" s="2">
        <v>-4.4000000000000003E-3</v>
      </c>
      <c r="M147" s="2">
        <v>-0.90500000000000003</v>
      </c>
      <c r="N147" s="2">
        <v>-4.9965999999999999</v>
      </c>
      <c r="O147" s="2">
        <v>58</v>
      </c>
      <c r="P147" s="2">
        <v>2.6</v>
      </c>
      <c r="Q147" s="2"/>
    </row>
    <row r="148" spans="2:17" x14ac:dyDescent="0.3">
      <c r="B148" s="2">
        <v>-1</v>
      </c>
      <c r="C148" s="2" t="s">
        <v>26</v>
      </c>
      <c r="D148" s="2">
        <v>58</v>
      </c>
      <c r="E148" s="2" t="s">
        <v>31</v>
      </c>
      <c r="F148" s="2" t="s">
        <v>24</v>
      </c>
      <c r="G148" s="2" t="s">
        <v>21</v>
      </c>
      <c r="H148" s="2">
        <v>0</v>
      </c>
      <c r="I148" s="2">
        <v>-17.938500000000001</v>
      </c>
      <c r="J148" s="2">
        <v>1.1184000000000001</v>
      </c>
      <c r="K148" s="2">
        <v>0.44940000000000002</v>
      </c>
      <c r="L148" s="2">
        <v>1.2999999999999999E-3</v>
      </c>
      <c r="M148" s="2">
        <v>0.47389999999999999</v>
      </c>
      <c r="N148" s="2">
        <v>0.91969999999999996</v>
      </c>
      <c r="O148" s="2">
        <v>58</v>
      </c>
      <c r="P148" s="2">
        <v>0</v>
      </c>
      <c r="Q148" s="2"/>
    </row>
    <row r="149" spans="2:17" x14ac:dyDescent="0.3">
      <c r="B149" s="2">
        <v>-1</v>
      </c>
      <c r="C149" s="2" t="s">
        <v>26</v>
      </c>
      <c r="D149" s="2">
        <v>58</v>
      </c>
      <c r="E149" s="2" t="s">
        <v>31</v>
      </c>
      <c r="F149" s="2" t="s">
        <v>24</v>
      </c>
      <c r="G149" s="2" t="s">
        <v>21</v>
      </c>
      <c r="H149" s="2">
        <v>1.3</v>
      </c>
      <c r="I149" s="2">
        <v>-17.499700000000001</v>
      </c>
      <c r="J149" s="2">
        <v>1.1184000000000001</v>
      </c>
      <c r="K149" s="2">
        <v>0.44940000000000002</v>
      </c>
      <c r="L149" s="2">
        <v>1.2999999999999999E-3</v>
      </c>
      <c r="M149" s="2">
        <v>-7.4000000000000003E-3</v>
      </c>
      <c r="N149" s="2">
        <v>-0.38479999999999998</v>
      </c>
      <c r="O149" s="2">
        <v>58</v>
      </c>
      <c r="P149" s="2">
        <v>1.3</v>
      </c>
      <c r="Q149" s="2"/>
    </row>
    <row r="150" spans="2:17" x14ac:dyDescent="0.3">
      <c r="B150" s="2">
        <v>-1</v>
      </c>
      <c r="C150" s="2" t="s">
        <v>26</v>
      </c>
      <c r="D150" s="2">
        <v>58</v>
      </c>
      <c r="E150" s="2" t="s">
        <v>31</v>
      </c>
      <c r="F150" s="2" t="s">
        <v>24</v>
      </c>
      <c r="G150" s="2" t="s">
        <v>21</v>
      </c>
      <c r="H150" s="2">
        <v>2.6</v>
      </c>
      <c r="I150" s="2">
        <v>-17.061</v>
      </c>
      <c r="J150" s="2">
        <v>1.1184000000000001</v>
      </c>
      <c r="K150" s="2">
        <v>0.44940000000000002</v>
      </c>
      <c r="L150" s="2">
        <v>1.2999999999999999E-3</v>
      </c>
      <c r="M150" s="2">
        <v>0.29010000000000002</v>
      </c>
      <c r="N150" s="2">
        <v>-1.3835</v>
      </c>
      <c r="O150" s="2">
        <v>58</v>
      </c>
      <c r="P150" s="2">
        <v>2.6</v>
      </c>
      <c r="Q150" s="2"/>
    </row>
    <row r="151" spans="2:17" x14ac:dyDescent="0.3">
      <c r="B151" s="2">
        <v>-1</v>
      </c>
      <c r="C151" s="2" t="s">
        <v>26</v>
      </c>
      <c r="D151" s="2">
        <v>58</v>
      </c>
      <c r="E151" s="2" t="s">
        <v>31</v>
      </c>
      <c r="F151" s="2" t="s">
        <v>24</v>
      </c>
      <c r="G151" s="2" t="s">
        <v>27</v>
      </c>
      <c r="H151" s="2">
        <v>0</v>
      </c>
      <c r="I151" s="2">
        <v>-18.612500000000001</v>
      </c>
      <c r="J151" s="2">
        <v>0.754</v>
      </c>
      <c r="K151" s="2">
        <v>-0.2298</v>
      </c>
      <c r="L151" s="2">
        <v>-8.0000000000000004E-4</v>
      </c>
      <c r="M151" s="2">
        <v>-0.3075</v>
      </c>
      <c r="N151" s="2">
        <v>0.57479999999999998</v>
      </c>
      <c r="O151" s="2">
        <v>58</v>
      </c>
      <c r="P151" s="2">
        <v>0</v>
      </c>
      <c r="Q151" s="2"/>
    </row>
    <row r="152" spans="2:17" x14ac:dyDescent="0.3">
      <c r="B152" s="2">
        <v>-1</v>
      </c>
      <c r="C152" s="2" t="s">
        <v>26</v>
      </c>
      <c r="D152" s="2">
        <v>58</v>
      </c>
      <c r="E152" s="2" t="s">
        <v>31</v>
      </c>
      <c r="F152" s="2" t="s">
        <v>24</v>
      </c>
      <c r="G152" s="2" t="s">
        <v>27</v>
      </c>
      <c r="H152" s="2">
        <v>1.3</v>
      </c>
      <c r="I152" s="2">
        <v>-18.1737</v>
      </c>
      <c r="J152" s="2">
        <v>0.754</v>
      </c>
      <c r="K152" s="2">
        <v>-0.2298</v>
      </c>
      <c r="L152" s="2">
        <v>-8.0000000000000004E-4</v>
      </c>
      <c r="M152" s="2">
        <v>-0.1118</v>
      </c>
      <c r="N152" s="2">
        <v>-0.55479999999999996</v>
      </c>
      <c r="O152" s="2">
        <v>58</v>
      </c>
      <c r="P152" s="2">
        <v>1.3</v>
      </c>
      <c r="Q152" s="2"/>
    </row>
    <row r="153" spans="2:17" x14ac:dyDescent="0.3">
      <c r="B153" s="2">
        <v>-1</v>
      </c>
      <c r="C153" s="2" t="s">
        <v>26</v>
      </c>
      <c r="D153" s="2">
        <v>58</v>
      </c>
      <c r="E153" s="2" t="s">
        <v>31</v>
      </c>
      <c r="F153" s="2" t="s">
        <v>24</v>
      </c>
      <c r="G153" s="2" t="s">
        <v>27</v>
      </c>
      <c r="H153" s="2">
        <v>2.6</v>
      </c>
      <c r="I153" s="2">
        <v>-17.734999999999999</v>
      </c>
      <c r="J153" s="2">
        <v>0.754</v>
      </c>
      <c r="K153" s="2">
        <v>-0.2298</v>
      </c>
      <c r="L153" s="2">
        <v>-8.0000000000000004E-4</v>
      </c>
      <c r="M153" s="2">
        <v>-0.69479999999999997</v>
      </c>
      <c r="N153" s="2">
        <v>-1.9902</v>
      </c>
      <c r="O153" s="2">
        <v>58</v>
      </c>
      <c r="P153" s="2">
        <v>2.6</v>
      </c>
      <c r="Q153" s="2"/>
    </row>
    <row r="154" spans="2:17" x14ac:dyDescent="0.3">
      <c r="B154" s="2">
        <v>-1</v>
      </c>
      <c r="C154" s="2" t="s">
        <v>26</v>
      </c>
      <c r="D154" s="2">
        <v>58</v>
      </c>
      <c r="E154" s="2" t="s">
        <v>32</v>
      </c>
      <c r="F154" s="2" t="s">
        <v>24</v>
      </c>
      <c r="G154" s="2"/>
      <c r="H154" s="2">
        <v>0</v>
      </c>
      <c r="I154" s="2">
        <v>-36.761800000000001</v>
      </c>
      <c r="J154" s="2">
        <v>1.9946999999999999</v>
      </c>
      <c r="K154" s="2">
        <v>0.19700000000000001</v>
      </c>
      <c r="L154" s="2">
        <v>8.0000000000000004E-4</v>
      </c>
      <c r="M154" s="2">
        <v>0.14460000000000001</v>
      </c>
      <c r="N154" s="2">
        <v>1.5947</v>
      </c>
      <c r="O154" s="2">
        <v>58</v>
      </c>
      <c r="P154" s="2">
        <v>0</v>
      </c>
      <c r="Q154" s="2"/>
    </row>
    <row r="155" spans="2:17" x14ac:dyDescent="0.3">
      <c r="B155" s="2">
        <v>-1</v>
      </c>
      <c r="C155" s="2" t="s">
        <v>26</v>
      </c>
      <c r="D155" s="2">
        <v>58</v>
      </c>
      <c r="E155" s="2" t="s">
        <v>32</v>
      </c>
      <c r="F155" s="2" t="s">
        <v>24</v>
      </c>
      <c r="G155" s="2"/>
      <c r="H155" s="2">
        <v>1.3</v>
      </c>
      <c r="I155" s="2">
        <v>-36.274299999999997</v>
      </c>
      <c r="J155" s="2">
        <v>1.9946999999999999</v>
      </c>
      <c r="K155" s="2">
        <v>0.19700000000000001</v>
      </c>
      <c r="L155" s="2">
        <v>8.0000000000000004E-4</v>
      </c>
      <c r="M155" s="2">
        <v>-0.1115</v>
      </c>
      <c r="N155" s="2">
        <v>-0.99839999999999995</v>
      </c>
      <c r="O155" s="2">
        <v>58</v>
      </c>
      <c r="P155" s="2">
        <v>1.3</v>
      </c>
      <c r="Q155" s="2"/>
    </row>
    <row r="156" spans="2:17" x14ac:dyDescent="0.3">
      <c r="B156" s="2">
        <v>-1</v>
      </c>
      <c r="C156" s="2" t="s">
        <v>26</v>
      </c>
      <c r="D156" s="2">
        <v>58</v>
      </c>
      <c r="E156" s="2" t="s">
        <v>32</v>
      </c>
      <c r="F156" s="2" t="s">
        <v>24</v>
      </c>
      <c r="G156" s="2"/>
      <c r="H156" s="2">
        <v>2.6</v>
      </c>
      <c r="I156" s="2">
        <v>-35.786799999999999</v>
      </c>
      <c r="J156" s="2">
        <v>1.9946999999999999</v>
      </c>
      <c r="K156" s="2">
        <v>0.19700000000000001</v>
      </c>
      <c r="L156" s="2">
        <v>8.0000000000000004E-4</v>
      </c>
      <c r="M156" s="2">
        <v>-0.36759999999999998</v>
      </c>
      <c r="N156" s="2">
        <v>-3.5914999999999999</v>
      </c>
      <c r="O156" s="2">
        <v>58</v>
      </c>
      <c r="P156" s="2">
        <v>2.6</v>
      </c>
      <c r="Q156" s="2"/>
    </row>
    <row r="157" spans="2:17" x14ac:dyDescent="0.3">
      <c r="B157" s="2">
        <v>-1</v>
      </c>
      <c r="C157" s="2" t="s">
        <v>31</v>
      </c>
      <c r="D157" s="2">
        <v>63</v>
      </c>
      <c r="E157" s="2" t="s">
        <v>14</v>
      </c>
      <c r="F157" s="2" t="s">
        <v>15</v>
      </c>
      <c r="G157" s="2"/>
      <c r="H157" s="2">
        <v>0</v>
      </c>
      <c r="I157" s="2">
        <v>-20.877300000000002</v>
      </c>
      <c r="J157" s="2">
        <v>-0.15329999999999999</v>
      </c>
      <c r="K157" s="2">
        <v>-0.11409999999999999</v>
      </c>
      <c r="L157" s="2">
        <v>2.9999999999999997E-4</v>
      </c>
      <c r="M157" s="2">
        <v>-0.107</v>
      </c>
      <c r="N157" s="2">
        <v>-0.1552</v>
      </c>
      <c r="O157" s="2">
        <v>63</v>
      </c>
      <c r="P157" s="2">
        <v>0</v>
      </c>
      <c r="Q157" s="2"/>
    </row>
    <row r="158" spans="2:17" x14ac:dyDescent="0.3">
      <c r="B158" s="2">
        <v>-1</v>
      </c>
      <c r="C158" s="2" t="s">
        <v>31</v>
      </c>
      <c r="D158" s="2">
        <v>63</v>
      </c>
      <c r="E158" s="2" t="s">
        <v>14</v>
      </c>
      <c r="F158" s="2" t="s">
        <v>15</v>
      </c>
      <c r="G158" s="2"/>
      <c r="H158" s="2">
        <v>1.3</v>
      </c>
      <c r="I158" s="2">
        <v>-20.389800000000001</v>
      </c>
      <c r="J158" s="2">
        <v>-0.15329999999999999</v>
      </c>
      <c r="K158" s="2">
        <v>-0.11409999999999999</v>
      </c>
      <c r="L158" s="2">
        <v>2.9999999999999997E-4</v>
      </c>
      <c r="M158" s="2">
        <v>4.1300000000000003E-2</v>
      </c>
      <c r="N158" s="2">
        <v>4.4200000000000003E-2</v>
      </c>
      <c r="O158" s="2">
        <v>63</v>
      </c>
      <c r="P158" s="2">
        <v>1.3</v>
      </c>
      <c r="Q158" s="2"/>
    </row>
    <row r="159" spans="2:17" x14ac:dyDescent="0.3">
      <c r="B159" s="2">
        <v>-1</v>
      </c>
      <c r="C159" s="2" t="s">
        <v>31</v>
      </c>
      <c r="D159" s="2">
        <v>63</v>
      </c>
      <c r="E159" s="2" t="s">
        <v>14</v>
      </c>
      <c r="F159" s="2" t="s">
        <v>15</v>
      </c>
      <c r="G159" s="2"/>
      <c r="H159" s="2">
        <v>2.6</v>
      </c>
      <c r="I159" s="2">
        <v>-19.9023</v>
      </c>
      <c r="J159" s="2">
        <v>-0.15329999999999999</v>
      </c>
      <c r="K159" s="2">
        <v>-0.11409999999999999</v>
      </c>
      <c r="L159" s="2">
        <v>2.9999999999999997E-4</v>
      </c>
      <c r="M159" s="2">
        <v>0.1895</v>
      </c>
      <c r="N159" s="2">
        <v>0.24349999999999999</v>
      </c>
      <c r="O159" s="2">
        <v>63</v>
      </c>
      <c r="P159" s="2">
        <v>2.6</v>
      </c>
      <c r="Q159" s="2"/>
    </row>
    <row r="160" spans="2:17" x14ac:dyDescent="0.3">
      <c r="B160" s="2">
        <v>-1</v>
      </c>
      <c r="C160" s="2" t="s">
        <v>31</v>
      </c>
      <c r="D160" s="2">
        <v>63</v>
      </c>
      <c r="E160" s="2" t="s">
        <v>18</v>
      </c>
      <c r="F160" s="2" t="s">
        <v>15</v>
      </c>
      <c r="G160" s="2"/>
      <c r="H160" s="2">
        <v>0</v>
      </c>
      <c r="I160" s="2">
        <v>-17.078499999999998</v>
      </c>
      <c r="J160" s="2">
        <v>-0.1487</v>
      </c>
      <c r="K160" s="2">
        <v>-0.1085</v>
      </c>
      <c r="L160" s="2">
        <v>5.0000000000000001E-4</v>
      </c>
      <c r="M160" s="2">
        <v>-0.1017</v>
      </c>
      <c r="N160" s="2">
        <v>-0.1512</v>
      </c>
      <c r="O160" s="2">
        <v>63</v>
      </c>
      <c r="P160" s="2">
        <v>0</v>
      </c>
      <c r="Q160" s="2"/>
    </row>
    <row r="161" spans="2:17" x14ac:dyDescent="0.3">
      <c r="B161" s="2">
        <v>-1</v>
      </c>
      <c r="C161" s="2" t="s">
        <v>31</v>
      </c>
      <c r="D161" s="2">
        <v>63</v>
      </c>
      <c r="E161" s="2" t="s">
        <v>18</v>
      </c>
      <c r="F161" s="2" t="s">
        <v>15</v>
      </c>
      <c r="G161" s="2"/>
      <c r="H161" s="2">
        <v>1.3</v>
      </c>
      <c r="I161" s="2">
        <v>-17.078499999999998</v>
      </c>
      <c r="J161" s="2">
        <v>-0.1487</v>
      </c>
      <c r="K161" s="2">
        <v>-0.1085</v>
      </c>
      <c r="L161" s="2">
        <v>5.0000000000000001E-4</v>
      </c>
      <c r="M161" s="2">
        <v>3.9300000000000002E-2</v>
      </c>
      <c r="N161" s="2">
        <v>4.2099999999999999E-2</v>
      </c>
      <c r="O161" s="2">
        <v>63</v>
      </c>
      <c r="P161" s="2">
        <v>1.3</v>
      </c>
      <c r="Q161" s="2"/>
    </row>
    <row r="162" spans="2:17" x14ac:dyDescent="0.3">
      <c r="B162" s="2">
        <v>-1</v>
      </c>
      <c r="C162" s="2" t="s">
        <v>31</v>
      </c>
      <c r="D162" s="2">
        <v>63</v>
      </c>
      <c r="E162" s="2" t="s">
        <v>18</v>
      </c>
      <c r="F162" s="2" t="s">
        <v>15</v>
      </c>
      <c r="G162" s="2"/>
      <c r="H162" s="2">
        <v>2.6</v>
      </c>
      <c r="I162" s="2">
        <v>-17.078499999999998</v>
      </c>
      <c r="J162" s="2">
        <v>-0.1487</v>
      </c>
      <c r="K162" s="2">
        <v>-0.1085</v>
      </c>
      <c r="L162" s="2">
        <v>5.0000000000000001E-4</v>
      </c>
      <c r="M162" s="2">
        <v>0.1804</v>
      </c>
      <c r="N162" s="2">
        <v>0.23549999999999999</v>
      </c>
      <c r="O162" s="2">
        <v>63</v>
      </c>
      <c r="P162" s="2">
        <v>2.6</v>
      </c>
      <c r="Q162" s="2"/>
    </row>
    <row r="163" spans="2:17" x14ac:dyDescent="0.3">
      <c r="B163" s="2">
        <v>-1</v>
      </c>
      <c r="C163" s="2" t="s">
        <v>31</v>
      </c>
      <c r="D163" s="2">
        <v>63</v>
      </c>
      <c r="E163" s="2" t="s">
        <v>19</v>
      </c>
      <c r="F163" s="2" t="s">
        <v>20</v>
      </c>
      <c r="G163" s="2" t="s">
        <v>21</v>
      </c>
      <c r="H163" s="2">
        <v>0</v>
      </c>
      <c r="I163" s="2">
        <v>2.3E-2</v>
      </c>
      <c r="J163" s="2">
        <v>0.28639999999999999</v>
      </c>
      <c r="K163" s="2">
        <v>2.3E-2</v>
      </c>
      <c r="L163" s="2">
        <v>3.3E-3</v>
      </c>
      <c r="M163" s="2">
        <v>2.98E-2</v>
      </c>
      <c r="N163" s="2">
        <v>0.43109999999999998</v>
      </c>
      <c r="O163" s="2">
        <v>63</v>
      </c>
      <c r="P163" s="2">
        <v>0</v>
      </c>
      <c r="Q163" s="2"/>
    </row>
    <row r="164" spans="2:17" x14ac:dyDescent="0.3">
      <c r="B164" s="2">
        <v>-1</v>
      </c>
      <c r="C164" s="2" t="s">
        <v>31</v>
      </c>
      <c r="D164" s="2">
        <v>63</v>
      </c>
      <c r="E164" s="2" t="s">
        <v>19</v>
      </c>
      <c r="F164" s="2" t="s">
        <v>20</v>
      </c>
      <c r="G164" s="2" t="s">
        <v>21</v>
      </c>
      <c r="H164" s="2">
        <v>1.3</v>
      </c>
      <c r="I164" s="2">
        <v>2.3E-2</v>
      </c>
      <c r="J164" s="2">
        <v>0.28639999999999999</v>
      </c>
      <c r="K164" s="2">
        <v>2.3E-2</v>
      </c>
      <c r="L164" s="2">
        <v>3.3E-3</v>
      </c>
      <c r="M164" s="2">
        <v>1.5E-3</v>
      </c>
      <c r="N164" s="2">
        <v>5.8700000000000002E-2</v>
      </c>
      <c r="O164" s="2">
        <v>63</v>
      </c>
      <c r="P164" s="2">
        <v>1.3</v>
      </c>
      <c r="Q164" s="2"/>
    </row>
    <row r="165" spans="2:17" x14ac:dyDescent="0.3">
      <c r="B165" s="2">
        <v>-1</v>
      </c>
      <c r="C165" s="2" t="s">
        <v>31</v>
      </c>
      <c r="D165" s="2">
        <v>63</v>
      </c>
      <c r="E165" s="2" t="s">
        <v>19</v>
      </c>
      <c r="F165" s="2" t="s">
        <v>20</v>
      </c>
      <c r="G165" s="2" t="s">
        <v>21</v>
      </c>
      <c r="H165" s="2">
        <v>2.6</v>
      </c>
      <c r="I165" s="2">
        <v>2.3E-2</v>
      </c>
      <c r="J165" s="2">
        <v>0.28639999999999999</v>
      </c>
      <c r="K165" s="2">
        <v>2.3E-2</v>
      </c>
      <c r="L165" s="2">
        <v>3.3E-3</v>
      </c>
      <c r="M165" s="2">
        <v>0.03</v>
      </c>
      <c r="N165" s="2">
        <v>0.31369999999999998</v>
      </c>
      <c r="O165" s="2">
        <v>63</v>
      </c>
      <c r="P165" s="2">
        <v>2.6</v>
      </c>
      <c r="Q165" s="2"/>
    </row>
    <row r="166" spans="2:17" x14ac:dyDescent="0.3">
      <c r="B166" s="2">
        <v>-1</v>
      </c>
      <c r="C166" s="2" t="s">
        <v>31</v>
      </c>
      <c r="D166" s="2">
        <v>63</v>
      </c>
      <c r="E166" s="2" t="s">
        <v>22</v>
      </c>
      <c r="F166" s="2" t="s">
        <v>20</v>
      </c>
      <c r="G166" s="2" t="s">
        <v>21</v>
      </c>
      <c r="H166" s="2">
        <v>0</v>
      </c>
      <c r="I166" s="2">
        <v>1.12E-2</v>
      </c>
      <c r="J166" s="2">
        <v>5.1700000000000003E-2</v>
      </c>
      <c r="K166" s="2">
        <v>0.1424</v>
      </c>
      <c r="L166" s="2">
        <v>6.9999999999999999E-4</v>
      </c>
      <c r="M166" s="2">
        <v>0.19120000000000001</v>
      </c>
      <c r="N166" s="2">
        <v>7.4999999999999997E-2</v>
      </c>
      <c r="O166" s="2">
        <v>63</v>
      </c>
      <c r="P166" s="2">
        <v>0</v>
      </c>
      <c r="Q166" s="2"/>
    </row>
    <row r="167" spans="2:17" x14ac:dyDescent="0.3">
      <c r="B167" s="2">
        <v>-1</v>
      </c>
      <c r="C167" s="2" t="s">
        <v>31</v>
      </c>
      <c r="D167" s="2">
        <v>63</v>
      </c>
      <c r="E167" s="2" t="s">
        <v>22</v>
      </c>
      <c r="F167" s="2" t="s">
        <v>20</v>
      </c>
      <c r="G167" s="2" t="s">
        <v>21</v>
      </c>
      <c r="H167" s="2">
        <v>1.3</v>
      </c>
      <c r="I167" s="2">
        <v>1.12E-2</v>
      </c>
      <c r="J167" s="2">
        <v>5.1700000000000003E-2</v>
      </c>
      <c r="K167" s="2">
        <v>0.1424</v>
      </c>
      <c r="L167" s="2">
        <v>6.9999999999999999E-4</v>
      </c>
      <c r="M167" s="2">
        <v>6.1000000000000004E-3</v>
      </c>
      <c r="N167" s="2">
        <v>9.1999999999999998E-3</v>
      </c>
      <c r="O167" s="2">
        <v>63</v>
      </c>
      <c r="P167" s="2">
        <v>1.3</v>
      </c>
      <c r="Q167" s="2"/>
    </row>
    <row r="168" spans="2:17" x14ac:dyDescent="0.3">
      <c r="B168" s="2">
        <v>-1</v>
      </c>
      <c r="C168" s="2" t="s">
        <v>31</v>
      </c>
      <c r="D168" s="2">
        <v>63</v>
      </c>
      <c r="E168" s="2" t="s">
        <v>22</v>
      </c>
      <c r="F168" s="2" t="s">
        <v>20</v>
      </c>
      <c r="G168" s="2" t="s">
        <v>21</v>
      </c>
      <c r="H168" s="2">
        <v>2.6</v>
      </c>
      <c r="I168" s="2">
        <v>1.12E-2</v>
      </c>
      <c r="J168" s="2">
        <v>5.1700000000000003E-2</v>
      </c>
      <c r="K168" s="2">
        <v>0.1424</v>
      </c>
      <c r="L168" s="2">
        <v>6.9999999999999999E-4</v>
      </c>
      <c r="M168" s="2">
        <v>0.17910000000000001</v>
      </c>
      <c r="N168" s="2">
        <v>5.9900000000000002E-2</v>
      </c>
      <c r="O168" s="2">
        <v>63</v>
      </c>
      <c r="P168" s="2">
        <v>2.6</v>
      </c>
      <c r="Q168" s="2"/>
    </row>
    <row r="169" spans="2:17" x14ac:dyDescent="0.3">
      <c r="B169" s="2">
        <v>-1</v>
      </c>
      <c r="C169" s="2" t="s">
        <v>31</v>
      </c>
      <c r="D169" s="2">
        <v>63</v>
      </c>
      <c r="E169" s="2" t="s">
        <v>23</v>
      </c>
      <c r="F169" s="2" t="s">
        <v>24</v>
      </c>
      <c r="G169" s="2"/>
      <c r="H169" s="2">
        <v>0</v>
      </c>
      <c r="I169" s="2">
        <v>-29.228200000000001</v>
      </c>
      <c r="J169" s="2">
        <v>-0.21460000000000001</v>
      </c>
      <c r="K169" s="2">
        <v>-0.15970000000000001</v>
      </c>
      <c r="L169" s="2">
        <v>4.0000000000000002E-4</v>
      </c>
      <c r="M169" s="2">
        <v>-0.14979999999999999</v>
      </c>
      <c r="N169" s="2">
        <v>-0.2172</v>
      </c>
      <c r="O169" s="2">
        <v>63</v>
      </c>
      <c r="P169" s="2">
        <v>0</v>
      </c>
      <c r="Q169" s="2"/>
    </row>
    <row r="170" spans="2:17" x14ac:dyDescent="0.3">
      <c r="B170" s="2">
        <v>-1</v>
      </c>
      <c r="C170" s="2" t="s">
        <v>31</v>
      </c>
      <c r="D170" s="2">
        <v>63</v>
      </c>
      <c r="E170" s="2" t="s">
        <v>23</v>
      </c>
      <c r="F170" s="2" t="s">
        <v>24</v>
      </c>
      <c r="G170" s="2"/>
      <c r="H170" s="2">
        <v>1.3</v>
      </c>
      <c r="I170" s="2">
        <v>-28.5457</v>
      </c>
      <c r="J170" s="2">
        <v>-0.21460000000000001</v>
      </c>
      <c r="K170" s="2">
        <v>-0.15970000000000001</v>
      </c>
      <c r="L170" s="2">
        <v>4.0000000000000002E-4</v>
      </c>
      <c r="M170" s="2">
        <v>5.7799999999999997E-2</v>
      </c>
      <c r="N170" s="2">
        <v>6.1800000000000001E-2</v>
      </c>
      <c r="O170" s="2">
        <v>63</v>
      </c>
      <c r="P170" s="2">
        <v>1.3</v>
      </c>
      <c r="Q170" s="2"/>
    </row>
    <row r="171" spans="2:17" x14ac:dyDescent="0.3">
      <c r="B171" s="2">
        <v>-1</v>
      </c>
      <c r="C171" s="2" t="s">
        <v>31</v>
      </c>
      <c r="D171" s="2">
        <v>63</v>
      </c>
      <c r="E171" s="2" t="s">
        <v>23</v>
      </c>
      <c r="F171" s="2" t="s">
        <v>24</v>
      </c>
      <c r="G171" s="2"/>
      <c r="H171" s="2">
        <v>2.6</v>
      </c>
      <c r="I171" s="2">
        <v>-27.863199999999999</v>
      </c>
      <c r="J171" s="2">
        <v>-0.21460000000000001</v>
      </c>
      <c r="K171" s="2">
        <v>-0.15970000000000001</v>
      </c>
      <c r="L171" s="2">
        <v>4.0000000000000002E-4</v>
      </c>
      <c r="M171" s="2">
        <v>0.26540000000000002</v>
      </c>
      <c r="N171" s="2">
        <v>0.34089999999999998</v>
      </c>
      <c r="O171" s="2">
        <v>63</v>
      </c>
      <c r="P171" s="2">
        <v>2.6</v>
      </c>
      <c r="Q171" s="2"/>
    </row>
    <row r="172" spans="2:17" x14ac:dyDescent="0.3">
      <c r="B172" s="2">
        <v>-1</v>
      </c>
      <c r="C172" s="2" t="s">
        <v>31</v>
      </c>
      <c r="D172" s="2">
        <v>63</v>
      </c>
      <c r="E172" s="2" t="s">
        <v>25</v>
      </c>
      <c r="F172" s="2" t="s">
        <v>24</v>
      </c>
      <c r="G172" s="2"/>
      <c r="H172" s="2">
        <v>0</v>
      </c>
      <c r="I172" s="2">
        <v>-52.378300000000003</v>
      </c>
      <c r="J172" s="2">
        <v>-0.42199999999999999</v>
      </c>
      <c r="K172" s="2">
        <v>-0.3105</v>
      </c>
      <c r="L172" s="2">
        <v>1.1000000000000001E-3</v>
      </c>
      <c r="M172" s="2">
        <v>-0.29110000000000003</v>
      </c>
      <c r="N172" s="2">
        <v>-0.42820000000000003</v>
      </c>
      <c r="O172" s="2">
        <v>63</v>
      </c>
      <c r="P172" s="2">
        <v>0</v>
      </c>
      <c r="Q172" s="2"/>
    </row>
    <row r="173" spans="2:17" x14ac:dyDescent="0.3">
      <c r="B173" s="2">
        <v>-1</v>
      </c>
      <c r="C173" s="2" t="s">
        <v>31</v>
      </c>
      <c r="D173" s="2">
        <v>63</v>
      </c>
      <c r="E173" s="2" t="s">
        <v>25</v>
      </c>
      <c r="F173" s="2" t="s">
        <v>24</v>
      </c>
      <c r="G173" s="2"/>
      <c r="H173" s="2">
        <v>1.3</v>
      </c>
      <c r="I173" s="2">
        <v>-51.793300000000002</v>
      </c>
      <c r="J173" s="2">
        <v>-0.42199999999999999</v>
      </c>
      <c r="K173" s="2">
        <v>-0.3105</v>
      </c>
      <c r="L173" s="2">
        <v>1.1000000000000001E-3</v>
      </c>
      <c r="M173" s="2">
        <v>0.1125</v>
      </c>
      <c r="N173" s="2">
        <v>0.12039999999999999</v>
      </c>
      <c r="O173" s="2">
        <v>63</v>
      </c>
      <c r="P173" s="2">
        <v>1.3</v>
      </c>
      <c r="Q173" s="2"/>
    </row>
    <row r="174" spans="2:17" x14ac:dyDescent="0.3">
      <c r="B174" s="2">
        <v>-1</v>
      </c>
      <c r="C174" s="2" t="s">
        <v>31</v>
      </c>
      <c r="D174" s="2">
        <v>63</v>
      </c>
      <c r="E174" s="2" t="s">
        <v>25</v>
      </c>
      <c r="F174" s="2" t="s">
        <v>24</v>
      </c>
      <c r="G174" s="2"/>
      <c r="H174" s="2">
        <v>2.6</v>
      </c>
      <c r="I174" s="2">
        <v>-51.208300000000001</v>
      </c>
      <c r="J174" s="2">
        <v>-0.42199999999999999</v>
      </c>
      <c r="K174" s="2">
        <v>-0.3105</v>
      </c>
      <c r="L174" s="2">
        <v>1.1000000000000001E-3</v>
      </c>
      <c r="M174" s="2">
        <v>0.5161</v>
      </c>
      <c r="N174" s="2">
        <v>0.66900000000000004</v>
      </c>
      <c r="O174" s="2">
        <v>63</v>
      </c>
      <c r="P174" s="2">
        <v>2.6</v>
      </c>
      <c r="Q174" s="2"/>
    </row>
    <row r="175" spans="2:17" x14ac:dyDescent="0.3">
      <c r="B175" s="2">
        <v>-1</v>
      </c>
      <c r="C175" s="2" t="s">
        <v>31</v>
      </c>
      <c r="D175" s="2">
        <v>63</v>
      </c>
      <c r="E175" s="2" t="s">
        <v>26</v>
      </c>
      <c r="F175" s="2" t="s">
        <v>24</v>
      </c>
      <c r="G175" s="2" t="s">
        <v>21</v>
      </c>
      <c r="H175" s="2">
        <v>0</v>
      </c>
      <c r="I175" s="2">
        <v>-18.757300000000001</v>
      </c>
      <c r="J175" s="2">
        <v>0.26300000000000001</v>
      </c>
      <c r="K175" s="2">
        <v>-7.0499999999999993E-2</v>
      </c>
      <c r="L175" s="2">
        <v>4.8999999999999998E-3</v>
      </c>
      <c r="M175" s="2">
        <v>-5.4600000000000003E-2</v>
      </c>
      <c r="N175" s="2">
        <v>0.46379999999999999</v>
      </c>
      <c r="O175" s="2">
        <v>63</v>
      </c>
      <c r="P175" s="2">
        <v>0</v>
      </c>
      <c r="Q175" s="2"/>
    </row>
    <row r="176" spans="2:17" x14ac:dyDescent="0.3">
      <c r="B176" s="2">
        <v>-1</v>
      </c>
      <c r="C176" s="2" t="s">
        <v>31</v>
      </c>
      <c r="D176" s="2">
        <v>63</v>
      </c>
      <c r="E176" s="2" t="s">
        <v>26</v>
      </c>
      <c r="F176" s="2" t="s">
        <v>24</v>
      </c>
      <c r="G176" s="2" t="s">
        <v>21</v>
      </c>
      <c r="H176" s="2">
        <v>1.3</v>
      </c>
      <c r="I176" s="2">
        <v>-18.3186</v>
      </c>
      <c r="J176" s="2">
        <v>0.26300000000000001</v>
      </c>
      <c r="K176" s="2">
        <v>-7.0499999999999993E-2</v>
      </c>
      <c r="L176" s="2">
        <v>4.8999999999999998E-3</v>
      </c>
      <c r="M176" s="2">
        <v>3.9300000000000002E-2</v>
      </c>
      <c r="N176" s="2">
        <v>0.12189999999999999</v>
      </c>
      <c r="O176" s="2">
        <v>63</v>
      </c>
      <c r="P176" s="2">
        <v>1.3</v>
      </c>
      <c r="Q176" s="2"/>
    </row>
    <row r="177" spans="2:17" x14ac:dyDescent="0.3">
      <c r="B177" s="2">
        <v>-1</v>
      </c>
      <c r="C177" s="2" t="s">
        <v>31</v>
      </c>
      <c r="D177" s="2">
        <v>63</v>
      </c>
      <c r="E177" s="2" t="s">
        <v>26</v>
      </c>
      <c r="F177" s="2" t="s">
        <v>24</v>
      </c>
      <c r="G177" s="2" t="s">
        <v>21</v>
      </c>
      <c r="H177" s="2">
        <v>2.6</v>
      </c>
      <c r="I177" s="2">
        <v>-17.879799999999999</v>
      </c>
      <c r="J177" s="2">
        <v>0.26300000000000001</v>
      </c>
      <c r="K177" s="2">
        <v>-7.0499999999999993E-2</v>
      </c>
      <c r="L177" s="2">
        <v>4.8999999999999998E-3</v>
      </c>
      <c r="M177" s="2">
        <v>0.21260000000000001</v>
      </c>
      <c r="N177" s="2">
        <v>0.6583</v>
      </c>
      <c r="O177" s="2">
        <v>63</v>
      </c>
      <c r="P177" s="2">
        <v>2.6</v>
      </c>
      <c r="Q177" s="2"/>
    </row>
    <row r="178" spans="2:17" x14ac:dyDescent="0.3">
      <c r="B178" s="2">
        <v>-1</v>
      </c>
      <c r="C178" s="2" t="s">
        <v>31</v>
      </c>
      <c r="D178" s="2">
        <v>63</v>
      </c>
      <c r="E178" s="2" t="s">
        <v>26</v>
      </c>
      <c r="F178" s="2" t="s">
        <v>24</v>
      </c>
      <c r="G178" s="2" t="s">
        <v>27</v>
      </c>
      <c r="H178" s="2">
        <v>0</v>
      </c>
      <c r="I178" s="2">
        <v>-18.8218</v>
      </c>
      <c r="J178" s="2">
        <v>-0.53900000000000003</v>
      </c>
      <c r="K178" s="2">
        <v>-0.1348</v>
      </c>
      <c r="L178" s="2">
        <v>-4.4000000000000003E-3</v>
      </c>
      <c r="M178" s="2">
        <v>-0.13800000000000001</v>
      </c>
      <c r="N178" s="2">
        <v>-0.74309999999999998</v>
      </c>
      <c r="O178" s="2">
        <v>63</v>
      </c>
      <c r="P178" s="2">
        <v>0</v>
      </c>
      <c r="Q178" s="2"/>
    </row>
    <row r="179" spans="2:17" x14ac:dyDescent="0.3">
      <c r="B179" s="2">
        <v>-1</v>
      </c>
      <c r="C179" s="2" t="s">
        <v>31</v>
      </c>
      <c r="D179" s="2">
        <v>63</v>
      </c>
      <c r="E179" s="2" t="s">
        <v>26</v>
      </c>
      <c r="F179" s="2" t="s">
        <v>24</v>
      </c>
      <c r="G179" s="2" t="s">
        <v>27</v>
      </c>
      <c r="H179" s="2">
        <v>1.3</v>
      </c>
      <c r="I179" s="2">
        <v>-18.382999999999999</v>
      </c>
      <c r="J179" s="2">
        <v>-0.53900000000000003</v>
      </c>
      <c r="K179" s="2">
        <v>-0.1348</v>
      </c>
      <c r="L179" s="2">
        <v>-4.4000000000000003E-3</v>
      </c>
      <c r="M179" s="2">
        <v>3.5000000000000003E-2</v>
      </c>
      <c r="N179" s="2">
        <v>-4.24E-2</v>
      </c>
      <c r="O179" s="2">
        <v>63</v>
      </c>
      <c r="P179" s="2">
        <v>1.3</v>
      </c>
      <c r="Q179" s="2"/>
    </row>
    <row r="180" spans="2:17" x14ac:dyDescent="0.3">
      <c r="B180" s="2">
        <v>-1</v>
      </c>
      <c r="C180" s="2" t="s">
        <v>31</v>
      </c>
      <c r="D180" s="2">
        <v>63</v>
      </c>
      <c r="E180" s="2" t="s">
        <v>26</v>
      </c>
      <c r="F180" s="2" t="s">
        <v>24</v>
      </c>
      <c r="G180" s="2" t="s">
        <v>27</v>
      </c>
      <c r="H180" s="2">
        <v>2.6</v>
      </c>
      <c r="I180" s="2">
        <v>-17.944299999999998</v>
      </c>
      <c r="J180" s="2">
        <v>-0.53900000000000003</v>
      </c>
      <c r="K180" s="2">
        <v>-0.1348</v>
      </c>
      <c r="L180" s="2">
        <v>-4.4000000000000003E-3</v>
      </c>
      <c r="M180" s="2">
        <v>0.12859999999999999</v>
      </c>
      <c r="N180" s="2">
        <v>-0.22009999999999999</v>
      </c>
      <c r="O180" s="2">
        <v>63</v>
      </c>
      <c r="P180" s="2">
        <v>2.6</v>
      </c>
      <c r="Q180" s="2"/>
    </row>
    <row r="181" spans="2:17" x14ac:dyDescent="0.3">
      <c r="B181" s="2">
        <v>-1</v>
      </c>
      <c r="C181" s="2" t="s">
        <v>31</v>
      </c>
      <c r="D181" s="2">
        <v>63</v>
      </c>
      <c r="E181" s="2" t="s">
        <v>28</v>
      </c>
      <c r="F181" s="2" t="s">
        <v>24</v>
      </c>
      <c r="G181" s="2" t="s">
        <v>21</v>
      </c>
      <c r="H181" s="2">
        <v>0</v>
      </c>
      <c r="I181" s="2">
        <v>-42.098999999999997</v>
      </c>
      <c r="J181" s="2">
        <v>6.83E-2</v>
      </c>
      <c r="K181" s="2">
        <v>-0.2132</v>
      </c>
      <c r="L181" s="2">
        <v>5.4000000000000003E-3</v>
      </c>
      <c r="M181" s="2">
        <v>-0.18840000000000001</v>
      </c>
      <c r="N181" s="2">
        <v>0.2661</v>
      </c>
      <c r="O181" s="2">
        <v>63</v>
      </c>
      <c r="P181" s="2">
        <v>0</v>
      </c>
      <c r="Q181" s="2"/>
    </row>
    <row r="182" spans="2:17" x14ac:dyDescent="0.3">
      <c r="B182" s="2">
        <v>-1</v>
      </c>
      <c r="C182" s="2" t="s">
        <v>31</v>
      </c>
      <c r="D182" s="2">
        <v>63</v>
      </c>
      <c r="E182" s="2" t="s">
        <v>28</v>
      </c>
      <c r="F182" s="2" t="s">
        <v>24</v>
      </c>
      <c r="G182" s="2" t="s">
        <v>21</v>
      </c>
      <c r="H182" s="2">
        <v>1.3</v>
      </c>
      <c r="I182" s="2">
        <v>-41.514000000000003</v>
      </c>
      <c r="J182" s="2">
        <v>6.83E-2</v>
      </c>
      <c r="K182" s="2">
        <v>-0.2132</v>
      </c>
      <c r="L182" s="2">
        <v>5.4000000000000003E-3</v>
      </c>
      <c r="M182" s="2">
        <v>9.0999999999999998E-2</v>
      </c>
      <c r="N182" s="2">
        <v>0.17730000000000001</v>
      </c>
      <c r="O182" s="2">
        <v>63</v>
      </c>
      <c r="P182" s="2">
        <v>1.3</v>
      </c>
      <c r="Q182" s="2"/>
    </row>
    <row r="183" spans="2:17" x14ac:dyDescent="0.3">
      <c r="B183" s="2">
        <v>-1</v>
      </c>
      <c r="C183" s="2" t="s">
        <v>31</v>
      </c>
      <c r="D183" s="2">
        <v>63</v>
      </c>
      <c r="E183" s="2" t="s">
        <v>28</v>
      </c>
      <c r="F183" s="2" t="s">
        <v>24</v>
      </c>
      <c r="G183" s="2" t="s">
        <v>21</v>
      </c>
      <c r="H183" s="2">
        <v>2.6</v>
      </c>
      <c r="I183" s="2">
        <v>-40.929000000000002</v>
      </c>
      <c r="J183" s="2">
        <v>6.83E-2</v>
      </c>
      <c r="K183" s="2">
        <v>-0.2132</v>
      </c>
      <c r="L183" s="2">
        <v>5.4000000000000003E-3</v>
      </c>
      <c r="M183" s="2">
        <v>0.44979999999999998</v>
      </c>
      <c r="N183" s="2">
        <v>0.96679999999999999</v>
      </c>
      <c r="O183" s="2">
        <v>63</v>
      </c>
      <c r="P183" s="2">
        <v>2.6</v>
      </c>
      <c r="Q183" s="2"/>
    </row>
    <row r="184" spans="2:17" x14ac:dyDescent="0.3">
      <c r="B184" s="2">
        <v>-1</v>
      </c>
      <c r="C184" s="2" t="s">
        <v>31</v>
      </c>
      <c r="D184" s="2">
        <v>63</v>
      </c>
      <c r="E184" s="2" t="s">
        <v>28</v>
      </c>
      <c r="F184" s="2" t="s">
        <v>24</v>
      </c>
      <c r="G184" s="2" t="s">
        <v>27</v>
      </c>
      <c r="H184" s="2">
        <v>0</v>
      </c>
      <c r="I184" s="2">
        <v>-42.163499999999999</v>
      </c>
      <c r="J184" s="2">
        <v>-0.73380000000000001</v>
      </c>
      <c r="K184" s="2">
        <v>-0.27750000000000002</v>
      </c>
      <c r="L184" s="2">
        <v>-3.8E-3</v>
      </c>
      <c r="M184" s="2">
        <v>-0.27179999999999999</v>
      </c>
      <c r="N184" s="2">
        <v>-0.94089999999999996</v>
      </c>
      <c r="O184" s="2">
        <v>63</v>
      </c>
      <c r="P184" s="2">
        <v>0</v>
      </c>
      <c r="Q184" s="2"/>
    </row>
    <row r="185" spans="2:17" x14ac:dyDescent="0.3">
      <c r="B185" s="2">
        <v>-1</v>
      </c>
      <c r="C185" s="2" t="s">
        <v>31</v>
      </c>
      <c r="D185" s="2">
        <v>63</v>
      </c>
      <c r="E185" s="2" t="s">
        <v>28</v>
      </c>
      <c r="F185" s="2" t="s">
        <v>24</v>
      </c>
      <c r="G185" s="2" t="s">
        <v>27</v>
      </c>
      <c r="H185" s="2">
        <v>1.3</v>
      </c>
      <c r="I185" s="2">
        <v>-41.578499999999998</v>
      </c>
      <c r="J185" s="2">
        <v>-0.73380000000000001</v>
      </c>
      <c r="K185" s="2">
        <v>-0.27750000000000002</v>
      </c>
      <c r="L185" s="2">
        <v>-3.8E-3</v>
      </c>
      <c r="M185" s="2">
        <v>8.6699999999999999E-2</v>
      </c>
      <c r="N185" s="2">
        <v>1.29E-2</v>
      </c>
      <c r="O185" s="2">
        <v>63</v>
      </c>
      <c r="P185" s="2">
        <v>1.3</v>
      </c>
      <c r="Q185" s="2"/>
    </row>
    <row r="186" spans="2:17" x14ac:dyDescent="0.3">
      <c r="B186" s="2">
        <v>-1</v>
      </c>
      <c r="C186" s="2" t="s">
        <v>31</v>
      </c>
      <c r="D186" s="2">
        <v>63</v>
      </c>
      <c r="E186" s="2" t="s">
        <v>28</v>
      </c>
      <c r="F186" s="2" t="s">
        <v>24</v>
      </c>
      <c r="G186" s="2" t="s">
        <v>27</v>
      </c>
      <c r="H186" s="2">
        <v>2.6</v>
      </c>
      <c r="I186" s="2">
        <v>-40.993499999999997</v>
      </c>
      <c r="J186" s="2">
        <v>-0.73380000000000001</v>
      </c>
      <c r="K186" s="2">
        <v>-0.27750000000000002</v>
      </c>
      <c r="L186" s="2">
        <v>-3.8E-3</v>
      </c>
      <c r="M186" s="2">
        <v>0.3659</v>
      </c>
      <c r="N186" s="2">
        <v>8.8499999999999995E-2</v>
      </c>
      <c r="O186" s="2">
        <v>63</v>
      </c>
      <c r="P186" s="2">
        <v>2.6</v>
      </c>
      <c r="Q186" s="2"/>
    </row>
    <row r="187" spans="2:17" x14ac:dyDescent="0.3">
      <c r="B187" s="2">
        <v>-1</v>
      </c>
      <c r="C187" s="2" t="s">
        <v>31</v>
      </c>
      <c r="D187" s="2">
        <v>63</v>
      </c>
      <c r="E187" s="2" t="s">
        <v>29</v>
      </c>
      <c r="F187" s="2" t="s">
        <v>24</v>
      </c>
      <c r="G187" s="2" t="s">
        <v>21</v>
      </c>
      <c r="H187" s="2">
        <v>0</v>
      </c>
      <c r="I187" s="2">
        <v>-42.115499999999997</v>
      </c>
      <c r="J187" s="2">
        <v>-0.26029999999999998</v>
      </c>
      <c r="K187" s="2">
        <v>-4.5999999999999999E-2</v>
      </c>
      <c r="L187" s="2">
        <v>1.8E-3</v>
      </c>
      <c r="M187" s="2">
        <v>3.7600000000000001E-2</v>
      </c>
      <c r="N187" s="2">
        <v>-0.23250000000000001</v>
      </c>
      <c r="O187" s="2">
        <v>63</v>
      </c>
      <c r="P187" s="2">
        <v>0</v>
      </c>
      <c r="Q187" s="2"/>
    </row>
    <row r="188" spans="2:17" x14ac:dyDescent="0.3">
      <c r="B188" s="2">
        <v>-1</v>
      </c>
      <c r="C188" s="2" t="s">
        <v>31</v>
      </c>
      <c r="D188" s="2">
        <v>63</v>
      </c>
      <c r="E188" s="2" t="s">
        <v>29</v>
      </c>
      <c r="F188" s="2" t="s">
        <v>24</v>
      </c>
      <c r="G188" s="2" t="s">
        <v>21</v>
      </c>
      <c r="H188" s="2">
        <v>1.3</v>
      </c>
      <c r="I188" s="2">
        <v>-41.530500000000004</v>
      </c>
      <c r="J188" s="2">
        <v>-0.26029999999999998</v>
      </c>
      <c r="K188" s="2">
        <v>-4.5999999999999999E-2</v>
      </c>
      <c r="L188" s="2">
        <v>1.8E-3</v>
      </c>
      <c r="M188" s="2">
        <v>9.74E-2</v>
      </c>
      <c r="N188" s="2">
        <v>0.1079</v>
      </c>
      <c r="O188" s="2">
        <v>63</v>
      </c>
      <c r="P188" s="2">
        <v>1.3</v>
      </c>
      <c r="Q188" s="2"/>
    </row>
    <row r="189" spans="2:17" x14ac:dyDescent="0.3">
      <c r="B189" s="2">
        <v>-1</v>
      </c>
      <c r="C189" s="2" t="s">
        <v>31</v>
      </c>
      <c r="D189" s="2">
        <v>63</v>
      </c>
      <c r="E189" s="2" t="s">
        <v>29</v>
      </c>
      <c r="F189" s="2" t="s">
        <v>24</v>
      </c>
      <c r="G189" s="2" t="s">
        <v>21</v>
      </c>
      <c r="H189" s="2">
        <v>2.6</v>
      </c>
      <c r="I189" s="2">
        <v>-40.945500000000003</v>
      </c>
      <c r="J189" s="2">
        <v>-0.26029999999999998</v>
      </c>
      <c r="K189" s="2">
        <v>-4.5999999999999999E-2</v>
      </c>
      <c r="L189" s="2">
        <v>1.8E-3</v>
      </c>
      <c r="M189" s="2">
        <v>0.65849999999999997</v>
      </c>
      <c r="N189" s="2">
        <v>0.61150000000000004</v>
      </c>
      <c r="O189" s="2">
        <v>63</v>
      </c>
      <c r="P189" s="2">
        <v>2.6</v>
      </c>
      <c r="Q189" s="2"/>
    </row>
    <row r="190" spans="2:17" x14ac:dyDescent="0.3">
      <c r="B190" s="2">
        <v>-1</v>
      </c>
      <c r="C190" s="2" t="s">
        <v>31</v>
      </c>
      <c r="D190" s="2">
        <v>63</v>
      </c>
      <c r="E190" s="2" t="s">
        <v>29</v>
      </c>
      <c r="F190" s="2" t="s">
        <v>24</v>
      </c>
      <c r="G190" s="2" t="s">
        <v>27</v>
      </c>
      <c r="H190" s="2">
        <v>0</v>
      </c>
      <c r="I190" s="2">
        <v>-42.146900000000002</v>
      </c>
      <c r="J190" s="2">
        <v>-0.40510000000000002</v>
      </c>
      <c r="K190" s="2">
        <v>-0.44469999999999998</v>
      </c>
      <c r="L190" s="2">
        <v>-2.0000000000000001E-4</v>
      </c>
      <c r="M190" s="2">
        <v>-0.49780000000000002</v>
      </c>
      <c r="N190" s="2">
        <v>-0.44240000000000002</v>
      </c>
      <c r="O190" s="2">
        <v>63</v>
      </c>
      <c r="P190" s="2">
        <v>0</v>
      </c>
      <c r="Q190" s="2"/>
    </row>
    <row r="191" spans="2:17" x14ac:dyDescent="0.3">
      <c r="B191" s="2">
        <v>-1</v>
      </c>
      <c r="C191" s="2" t="s">
        <v>31</v>
      </c>
      <c r="D191" s="2">
        <v>63</v>
      </c>
      <c r="E191" s="2" t="s">
        <v>29</v>
      </c>
      <c r="F191" s="2" t="s">
        <v>24</v>
      </c>
      <c r="G191" s="2" t="s">
        <v>27</v>
      </c>
      <c r="H191" s="2">
        <v>1.3</v>
      </c>
      <c r="I191" s="2">
        <v>-41.561900000000001</v>
      </c>
      <c r="J191" s="2">
        <v>-0.40510000000000002</v>
      </c>
      <c r="K191" s="2">
        <v>-0.44469999999999998</v>
      </c>
      <c r="L191" s="2">
        <v>-2.0000000000000001E-4</v>
      </c>
      <c r="M191" s="2">
        <v>8.0299999999999996E-2</v>
      </c>
      <c r="N191" s="2">
        <v>8.2299999999999998E-2</v>
      </c>
      <c r="O191" s="2">
        <v>63</v>
      </c>
      <c r="P191" s="2">
        <v>1.3</v>
      </c>
      <c r="Q191" s="2"/>
    </row>
    <row r="192" spans="2:17" x14ac:dyDescent="0.3">
      <c r="B192" s="2">
        <v>-1</v>
      </c>
      <c r="C192" s="2" t="s">
        <v>31</v>
      </c>
      <c r="D192" s="2">
        <v>63</v>
      </c>
      <c r="E192" s="2" t="s">
        <v>29</v>
      </c>
      <c r="F192" s="2" t="s">
        <v>24</v>
      </c>
      <c r="G192" s="2" t="s">
        <v>27</v>
      </c>
      <c r="H192" s="2">
        <v>2.6</v>
      </c>
      <c r="I192" s="2">
        <v>-40.976900000000001</v>
      </c>
      <c r="J192" s="2">
        <v>-0.40510000000000002</v>
      </c>
      <c r="K192" s="2">
        <v>-0.44469999999999998</v>
      </c>
      <c r="L192" s="2">
        <v>-2.0000000000000001E-4</v>
      </c>
      <c r="M192" s="2">
        <v>0.15709999999999999</v>
      </c>
      <c r="N192" s="2">
        <v>0.44390000000000002</v>
      </c>
      <c r="O192" s="2">
        <v>63</v>
      </c>
      <c r="P192" s="2">
        <v>2.6</v>
      </c>
      <c r="Q192" s="2"/>
    </row>
    <row r="193" spans="2:17" x14ac:dyDescent="0.3">
      <c r="B193" s="2">
        <v>-1</v>
      </c>
      <c r="C193" s="2" t="s">
        <v>31</v>
      </c>
      <c r="D193" s="2">
        <v>63</v>
      </c>
      <c r="E193" s="2" t="s">
        <v>30</v>
      </c>
      <c r="F193" s="2" t="s">
        <v>24</v>
      </c>
      <c r="G193" s="2" t="s">
        <v>21</v>
      </c>
      <c r="H193" s="2">
        <v>0</v>
      </c>
      <c r="I193" s="2">
        <v>-18.757300000000001</v>
      </c>
      <c r="J193" s="2">
        <v>0.26300000000000001</v>
      </c>
      <c r="K193" s="2">
        <v>9.6699999999999994E-2</v>
      </c>
      <c r="L193" s="2">
        <v>5.4000000000000003E-3</v>
      </c>
      <c r="M193" s="2">
        <v>0.1714</v>
      </c>
      <c r="N193" s="2">
        <v>0.46379999999999999</v>
      </c>
      <c r="O193" s="2">
        <v>63</v>
      </c>
      <c r="P193" s="2">
        <v>0</v>
      </c>
      <c r="Q193" s="2"/>
    </row>
    <row r="194" spans="2:17" x14ac:dyDescent="0.3">
      <c r="B194" s="2">
        <v>-1</v>
      </c>
      <c r="C194" s="2" t="s">
        <v>31</v>
      </c>
      <c r="D194" s="2">
        <v>63</v>
      </c>
      <c r="E194" s="2" t="s">
        <v>30</v>
      </c>
      <c r="F194" s="2" t="s">
        <v>24</v>
      </c>
      <c r="G194" s="2" t="s">
        <v>21</v>
      </c>
      <c r="H194" s="2">
        <v>1.3</v>
      </c>
      <c r="I194" s="2">
        <v>-18.3186</v>
      </c>
      <c r="J194" s="2">
        <v>0.26300000000000001</v>
      </c>
      <c r="K194" s="2">
        <v>9.6699999999999994E-2</v>
      </c>
      <c r="L194" s="2">
        <v>5.4000000000000003E-3</v>
      </c>
      <c r="M194" s="2">
        <v>0.1125</v>
      </c>
      <c r="N194" s="2">
        <v>0.17730000000000001</v>
      </c>
      <c r="O194" s="2">
        <v>63</v>
      </c>
      <c r="P194" s="2">
        <v>1.3</v>
      </c>
      <c r="Q194" s="2"/>
    </row>
    <row r="195" spans="2:17" x14ac:dyDescent="0.3">
      <c r="B195" s="2">
        <v>-1</v>
      </c>
      <c r="C195" s="2" t="s">
        <v>31</v>
      </c>
      <c r="D195" s="2">
        <v>63</v>
      </c>
      <c r="E195" s="2" t="s">
        <v>30</v>
      </c>
      <c r="F195" s="2" t="s">
        <v>24</v>
      </c>
      <c r="G195" s="2" t="s">
        <v>21</v>
      </c>
      <c r="H195" s="2">
        <v>2.6</v>
      </c>
      <c r="I195" s="2">
        <v>-17.879799999999999</v>
      </c>
      <c r="J195" s="2">
        <v>0.26300000000000001</v>
      </c>
      <c r="K195" s="2">
        <v>9.6699999999999994E-2</v>
      </c>
      <c r="L195" s="2">
        <v>5.4000000000000003E-3</v>
      </c>
      <c r="M195" s="2">
        <v>0.65849999999999997</v>
      </c>
      <c r="N195" s="2">
        <v>0.96679999999999999</v>
      </c>
      <c r="O195" s="2">
        <v>63</v>
      </c>
      <c r="P195" s="2">
        <v>2.6</v>
      </c>
      <c r="Q195" s="2"/>
    </row>
    <row r="196" spans="2:17" x14ac:dyDescent="0.3">
      <c r="B196" s="2">
        <v>-1</v>
      </c>
      <c r="C196" s="2" t="s">
        <v>31</v>
      </c>
      <c r="D196" s="2">
        <v>63</v>
      </c>
      <c r="E196" s="2" t="s">
        <v>30</v>
      </c>
      <c r="F196" s="2" t="s">
        <v>24</v>
      </c>
      <c r="G196" s="2" t="s">
        <v>27</v>
      </c>
      <c r="H196" s="2">
        <v>0</v>
      </c>
      <c r="I196" s="2">
        <v>-52.378300000000003</v>
      </c>
      <c r="J196" s="2">
        <v>-0.73380000000000001</v>
      </c>
      <c r="K196" s="2">
        <v>-0.44469999999999998</v>
      </c>
      <c r="L196" s="2">
        <v>-4.4000000000000003E-3</v>
      </c>
      <c r="M196" s="2">
        <v>-0.49780000000000002</v>
      </c>
      <c r="N196" s="2">
        <v>-0.94089999999999996</v>
      </c>
      <c r="O196" s="2">
        <v>63</v>
      </c>
      <c r="P196" s="2">
        <v>0</v>
      </c>
      <c r="Q196" s="2"/>
    </row>
    <row r="197" spans="2:17" x14ac:dyDescent="0.3">
      <c r="B197" s="2">
        <v>-1</v>
      </c>
      <c r="C197" s="2" t="s">
        <v>31</v>
      </c>
      <c r="D197" s="2">
        <v>63</v>
      </c>
      <c r="E197" s="2" t="s">
        <v>30</v>
      </c>
      <c r="F197" s="2" t="s">
        <v>24</v>
      </c>
      <c r="G197" s="2" t="s">
        <v>27</v>
      </c>
      <c r="H197" s="2">
        <v>1.3</v>
      </c>
      <c r="I197" s="2">
        <v>-51.793300000000002</v>
      </c>
      <c r="J197" s="2">
        <v>-0.73380000000000001</v>
      </c>
      <c r="K197" s="2">
        <v>-0.44469999999999998</v>
      </c>
      <c r="L197" s="2">
        <v>-4.4000000000000003E-3</v>
      </c>
      <c r="M197" s="2">
        <v>2.86E-2</v>
      </c>
      <c r="N197" s="2">
        <v>-4.24E-2</v>
      </c>
      <c r="O197" s="2">
        <v>63</v>
      </c>
      <c r="P197" s="2">
        <v>1.3</v>
      </c>
      <c r="Q197" s="2"/>
    </row>
    <row r="198" spans="2:17" x14ac:dyDescent="0.3">
      <c r="B198" s="2">
        <v>-1</v>
      </c>
      <c r="C198" s="2" t="s">
        <v>31</v>
      </c>
      <c r="D198" s="2">
        <v>63</v>
      </c>
      <c r="E198" s="2" t="s">
        <v>30</v>
      </c>
      <c r="F198" s="2" t="s">
        <v>24</v>
      </c>
      <c r="G198" s="2" t="s">
        <v>27</v>
      </c>
      <c r="H198" s="2">
        <v>2.6</v>
      </c>
      <c r="I198" s="2">
        <v>-51.208300000000001</v>
      </c>
      <c r="J198" s="2">
        <v>-0.73380000000000001</v>
      </c>
      <c r="K198" s="2">
        <v>-0.44469999999999998</v>
      </c>
      <c r="L198" s="2">
        <v>-4.4000000000000003E-3</v>
      </c>
      <c r="M198" s="2">
        <v>-8.0100000000000005E-2</v>
      </c>
      <c r="N198" s="2">
        <v>-0.22009999999999999</v>
      </c>
      <c r="O198" s="2">
        <v>63</v>
      </c>
      <c r="P198" s="2">
        <v>2.6</v>
      </c>
      <c r="Q198" s="2"/>
    </row>
    <row r="199" spans="2:17" x14ac:dyDescent="0.3">
      <c r="B199" s="2">
        <v>-1</v>
      </c>
      <c r="C199" s="2" t="s">
        <v>31</v>
      </c>
      <c r="D199" s="2">
        <v>63</v>
      </c>
      <c r="E199" s="2" t="s">
        <v>31</v>
      </c>
      <c r="F199" s="2" t="s">
        <v>24</v>
      </c>
      <c r="G199" s="2" t="s">
        <v>21</v>
      </c>
      <c r="H199" s="2">
        <v>0</v>
      </c>
      <c r="I199" s="2">
        <v>-18.773900000000001</v>
      </c>
      <c r="J199" s="2">
        <v>-6.5600000000000006E-2</v>
      </c>
      <c r="K199" s="2">
        <v>9.6699999999999994E-2</v>
      </c>
      <c r="L199" s="2">
        <v>1.2999999999999999E-3</v>
      </c>
      <c r="M199" s="2">
        <v>0.1714</v>
      </c>
      <c r="N199" s="2">
        <v>-3.4700000000000002E-2</v>
      </c>
      <c r="O199" s="2">
        <v>63</v>
      </c>
      <c r="P199" s="2">
        <v>0</v>
      </c>
      <c r="Q199" s="2"/>
    </row>
    <row r="200" spans="2:17" x14ac:dyDescent="0.3">
      <c r="B200" s="2">
        <v>-1</v>
      </c>
      <c r="C200" s="2" t="s">
        <v>31</v>
      </c>
      <c r="D200" s="2">
        <v>63</v>
      </c>
      <c r="E200" s="2" t="s">
        <v>31</v>
      </c>
      <c r="F200" s="2" t="s">
        <v>24</v>
      </c>
      <c r="G200" s="2" t="s">
        <v>21</v>
      </c>
      <c r="H200" s="2">
        <v>1.3</v>
      </c>
      <c r="I200" s="2">
        <v>-18.335100000000001</v>
      </c>
      <c r="J200" s="2">
        <v>-6.5600000000000006E-2</v>
      </c>
      <c r="K200" s="2">
        <v>9.6699999999999994E-2</v>
      </c>
      <c r="L200" s="2">
        <v>1.2999999999999999E-3</v>
      </c>
      <c r="M200" s="2">
        <v>4.5699999999999998E-2</v>
      </c>
      <c r="N200" s="2">
        <v>5.2499999999999998E-2</v>
      </c>
      <c r="O200" s="2">
        <v>63</v>
      </c>
      <c r="P200" s="2">
        <v>1.3</v>
      </c>
      <c r="Q200" s="2"/>
    </row>
    <row r="201" spans="2:17" x14ac:dyDescent="0.3">
      <c r="B201" s="2">
        <v>-1</v>
      </c>
      <c r="C201" s="2" t="s">
        <v>31</v>
      </c>
      <c r="D201" s="2">
        <v>63</v>
      </c>
      <c r="E201" s="2" t="s">
        <v>31</v>
      </c>
      <c r="F201" s="2" t="s">
        <v>24</v>
      </c>
      <c r="G201" s="2" t="s">
        <v>21</v>
      </c>
      <c r="H201" s="2">
        <v>2.6</v>
      </c>
      <c r="I201" s="2">
        <v>-17.8964</v>
      </c>
      <c r="J201" s="2">
        <v>-6.5600000000000006E-2</v>
      </c>
      <c r="K201" s="2">
        <v>9.6699999999999994E-2</v>
      </c>
      <c r="L201" s="2">
        <v>1.2999999999999999E-3</v>
      </c>
      <c r="M201" s="2">
        <v>0.42130000000000001</v>
      </c>
      <c r="N201" s="2">
        <v>0.3029</v>
      </c>
      <c r="O201" s="2">
        <v>63</v>
      </c>
      <c r="P201" s="2">
        <v>2.6</v>
      </c>
      <c r="Q201" s="2"/>
    </row>
    <row r="202" spans="2:17" x14ac:dyDescent="0.3">
      <c r="B202" s="2">
        <v>-1</v>
      </c>
      <c r="C202" s="2" t="s">
        <v>31</v>
      </c>
      <c r="D202" s="2">
        <v>63</v>
      </c>
      <c r="E202" s="2" t="s">
        <v>31</v>
      </c>
      <c r="F202" s="2" t="s">
        <v>24</v>
      </c>
      <c r="G202" s="2" t="s">
        <v>27</v>
      </c>
      <c r="H202" s="2">
        <v>0</v>
      </c>
      <c r="I202" s="2">
        <v>-18.805199999999999</v>
      </c>
      <c r="J202" s="2">
        <v>-0.2104</v>
      </c>
      <c r="K202" s="2">
        <v>-0.30199999999999999</v>
      </c>
      <c r="L202" s="2">
        <v>-8.0000000000000004E-4</v>
      </c>
      <c r="M202" s="2">
        <v>-0.36399999999999999</v>
      </c>
      <c r="N202" s="2">
        <v>-0.24460000000000001</v>
      </c>
      <c r="O202" s="2">
        <v>63</v>
      </c>
      <c r="P202" s="2">
        <v>0</v>
      </c>
      <c r="Q202" s="2"/>
    </row>
    <row r="203" spans="2:17" x14ac:dyDescent="0.3">
      <c r="B203" s="2">
        <v>-1</v>
      </c>
      <c r="C203" s="2" t="s">
        <v>31</v>
      </c>
      <c r="D203" s="2">
        <v>63</v>
      </c>
      <c r="E203" s="2" t="s">
        <v>31</v>
      </c>
      <c r="F203" s="2" t="s">
        <v>24</v>
      </c>
      <c r="G203" s="2" t="s">
        <v>27</v>
      </c>
      <c r="H203" s="2">
        <v>1.3</v>
      </c>
      <c r="I203" s="2">
        <v>-18.366499999999998</v>
      </c>
      <c r="J203" s="2">
        <v>-0.2104</v>
      </c>
      <c r="K203" s="2">
        <v>-0.30199999999999999</v>
      </c>
      <c r="L203" s="2">
        <v>-8.0000000000000004E-4</v>
      </c>
      <c r="M203" s="2">
        <v>2.86E-2</v>
      </c>
      <c r="N203" s="2">
        <v>2.69E-2</v>
      </c>
      <c r="O203" s="2">
        <v>63</v>
      </c>
      <c r="P203" s="2">
        <v>1.3</v>
      </c>
      <c r="Q203" s="2"/>
    </row>
    <row r="204" spans="2:17" x14ac:dyDescent="0.3">
      <c r="B204" s="2">
        <v>-1</v>
      </c>
      <c r="C204" s="2" t="s">
        <v>31</v>
      </c>
      <c r="D204" s="2">
        <v>63</v>
      </c>
      <c r="E204" s="2" t="s">
        <v>31</v>
      </c>
      <c r="F204" s="2" t="s">
        <v>24</v>
      </c>
      <c r="G204" s="2" t="s">
        <v>27</v>
      </c>
      <c r="H204" s="2">
        <v>2.6</v>
      </c>
      <c r="I204" s="2">
        <v>-17.927700000000002</v>
      </c>
      <c r="J204" s="2">
        <v>-0.2104</v>
      </c>
      <c r="K204" s="2">
        <v>-0.30199999999999999</v>
      </c>
      <c r="L204" s="2">
        <v>-8.0000000000000004E-4</v>
      </c>
      <c r="M204" s="2">
        <v>-8.0100000000000005E-2</v>
      </c>
      <c r="N204" s="2">
        <v>0.1353</v>
      </c>
      <c r="O204" s="2">
        <v>63</v>
      </c>
      <c r="P204" s="2">
        <v>2.6</v>
      </c>
      <c r="Q204" s="2"/>
    </row>
    <row r="205" spans="2:17" x14ac:dyDescent="0.3">
      <c r="B205" s="2">
        <v>-1</v>
      </c>
      <c r="C205" s="2" t="s">
        <v>31</v>
      </c>
      <c r="D205" s="2">
        <v>63</v>
      </c>
      <c r="E205" s="2" t="s">
        <v>32</v>
      </c>
      <c r="F205" s="2" t="s">
        <v>24</v>
      </c>
      <c r="G205" s="2"/>
      <c r="H205" s="2">
        <v>0</v>
      </c>
      <c r="I205" s="2">
        <v>-37.955800000000004</v>
      </c>
      <c r="J205" s="2">
        <v>-0.30209999999999998</v>
      </c>
      <c r="K205" s="2">
        <v>-0.22259999999999999</v>
      </c>
      <c r="L205" s="2">
        <v>8.0000000000000004E-4</v>
      </c>
      <c r="M205" s="2">
        <v>-0.2087</v>
      </c>
      <c r="N205" s="2">
        <v>-0.30640000000000001</v>
      </c>
      <c r="O205" s="2">
        <v>63</v>
      </c>
      <c r="P205" s="2">
        <v>0</v>
      </c>
      <c r="Q205" s="2"/>
    </row>
    <row r="206" spans="2:17" x14ac:dyDescent="0.3">
      <c r="B206" s="2">
        <v>-1</v>
      </c>
      <c r="C206" s="2" t="s">
        <v>31</v>
      </c>
      <c r="D206" s="2">
        <v>63</v>
      </c>
      <c r="E206" s="2" t="s">
        <v>32</v>
      </c>
      <c r="F206" s="2" t="s">
        <v>24</v>
      </c>
      <c r="G206" s="2"/>
      <c r="H206" s="2">
        <v>1.3</v>
      </c>
      <c r="I206" s="2">
        <v>-37.468299999999999</v>
      </c>
      <c r="J206" s="2">
        <v>-0.30209999999999998</v>
      </c>
      <c r="K206" s="2">
        <v>-0.22259999999999999</v>
      </c>
      <c r="L206" s="2">
        <v>8.0000000000000004E-4</v>
      </c>
      <c r="M206" s="2">
        <v>8.0600000000000005E-2</v>
      </c>
      <c r="N206" s="2">
        <v>8.6300000000000002E-2</v>
      </c>
      <c r="O206" s="2">
        <v>63</v>
      </c>
      <c r="P206" s="2">
        <v>1.3</v>
      </c>
      <c r="Q206" s="2"/>
    </row>
    <row r="207" spans="2:17" x14ac:dyDescent="0.3">
      <c r="B207" s="2">
        <v>-1</v>
      </c>
      <c r="C207" s="2" t="s">
        <v>31</v>
      </c>
      <c r="D207" s="2">
        <v>63</v>
      </c>
      <c r="E207" s="2" t="s">
        <v>32</v>
      </c>
      <c r="F207" s="2" t="s">
        <v>24</v>
      </c>
      <c r="G207" s="2"/>
      <c r="H207" s="2">
        <v>2.6</v>
      </c>
      <c r="I207" s="2">
        <v>-36.980800000000002</v>
      </c>
      <c r="J207" s="2">
        <v>-0.30209999999999998</v>
      </c>
      <c r="K207" s="2">
        <v>-0.22259999999999999</v>
      </c>
      <c r="L207" s="2">
        <v>8.0000000000000004E-4</v>
      </c>
      <c r="M207" s="2">
        <v>0.36990000000000001</v>
      </c>
      <c r="N207" s="2">
        <v>0.47899999999999998</v>
      </c>
      <c r="O207" s="2">
        <v>63</v>
      </c>
      <c r="P207" s="2">
        <v>2.6</v>
      </c>
      <c r="Q207" s="2"/>
    </row>
    <row r="208" spans="2:17" x14ac:dyDescent="0.3">
      <c r="B208" s="2">
        <v>-1</v>
      </c>
      <c r="C208" s="2" t="s">
        <v>28</v>
      </c>
      <c r="D208" s="2">
        <v>73</v>
      </c>
      <c r="E208" s="2" t="s">
        <v>14</v>
      </c>
      <c r="F208" s="2" t="s">
        <v>15</v>
      </c>
      <c r="G208" s="2"/>
      <c r="H208" s="2">
        <v>0</v>
      </c>
      <c r="I208" s="2">
        <v>-18.942399999999999</v>
      </c>
      <c r="J208" s="2">
        <v>-0.11609999999999999</v>
      </c>
      <c r="K208" s="2">
        <v>-0.22559999999999999</v>
      </c>
      <c r="L208" s="2">
        <v>2.9999999999999997E-4</v>
      </c>
      <c r="M208" s="2">
        <v>-0.20180000000000001</v>
      </c>
      <c r="N208" s="2">
        <v>-0.12139999999999999</v>
      </c>
      <c r="O208" s="2">
        <v>73</v>
      </c>
      <c r="P208" s="2">
        <v>0</v>
      </c>
      <c r="Q208" s="2"/>
    </row>
    <row r="209" spans="2:17" x14ac:dyDescent="0.3">
      <c r="B209" s="2">
        <v>-1</v>
      </c>
      <c r="C209" s="2" t="s">
        <v>28</v>
      </c>
      <c r="D209" s="2">
        <v>73</v>
      </c>
      <c r="E209" s="2" t="s">
        <v>14</v>
      </c>
      <c r="F209" s="2" t="s">
        <v>15</v>
      </c>
      <c r="G209" s="2"/>
      <c r="H209" s="2">
        <v>1.3</v>
      </c>
      <c r="I209" s="2">
        <v>-18.454899999999999</v>
      </c>
      <c r="J209" s="2">
        <v>-0.11609999999999999</v>
      </c>
      <c r="K209" s="2">
        <v>-0.22559999999999999</v>
      </c>
      <c r="L209" s="2">
        <v>2.9999999999999997E-4</v>
      </c>
      <c r="M209" s="2">
        <v>9.1399999999999995E-2</v>
      </c>
      <c r="N209" s="2">
        <v>2.9600000000000001E-2</v>
      </c>
      <c r="O209" s="2">
        <v>73</v>
      </c>
      <c r="P209" s="2">
        <v>1.3</v>
      </c>
      <c r="Q209" s="2"/>
    </row>
    <row r="210" spans="2:17" x14ac:dyDescent="0.3">
      <c r="B210" s="2">
        <v>-1</v>
      </c>
      <c r="C210" s="2" t="s">
        <v>28</v>
      </c>
      <c r="D210" s="2">
        <v>73</v>
      </c>
      <c r="E210" s="2" t="s">
        <v>14</v>
      </c>
      <c r="F210" s="2" t="s">
        <v>15</v>
      </c>
      <c r="G210" s="2"/>
      <c r="H210" s="2">
        <v>2.6</v>
      </c>
      <c r="I210" s="2">
        <v>-17.967400000000001</v>
      </c>
      <c r="J210" s="2">
        <v>-0.11609999999999999</v>
      </c>
      <c r="K210" s="2">
        <v>-0.22559999999999999</v>
      </c>
      <c r="L210" s="2">
        <v>2.9999999999999997E-4</v>
      </c>
      <c r="M210" s="2">
        <v>0.38469999999999999</v>
      </c>
      <c r="N210" s="2">
        <v>0.18049999999999999</v>
      </c>
      <c r="O210" s="2">
        <v>73</v>
      </c>
      <c r="P210" s="2">
        <v>2.6</v>
      </c>
      <c r="Q210" s="2"/>
    </row>
    <row r="211" spans="2:17" x14ac:dyDescent="0.3">
      <c r="B211" s="2">
        <v>-1</v>
      </c>
      <c r="C211" s="2" t="s">
        <v>28</v>
      </c>
      <c r="D211" s="2">
        <v>73</v>
      </c>
      <c r="E211" s="2" t="s">
        <v>18</v>
      </c>
      <c r="F211" s="2" t="s">
        <v>15</v>
      </c>
      <c r="G211" s="2"/>
      <c r="H211" s="2">
        <v>0</v>
      </c>
      <c r="I211" s="2">
        <v>-15.3163</v>
      </c>
      <c r="J211" s="2">
        <v>-0.112</v>
      </c>
      <c r="K211" s="2">
        <v>-0.20380000000000001</v>
      </c>
      <c r="L211" s="2">
        <v>5.0000000000000001E-4</v>
      </c>
      <c r="M211" s="2">
        <v>-0.1827</v>
      </c>
      <c r="N211" s="2">
        <v>-0.11559999999999999</v>
      </c>
      <c r="O211" s="2">
        <v>73</v>
      </c>
      <c r="P211" s="2">
        <v>0</v>
      </c>
      <c r="Q211" s="2"/>
    </row>
    <row r="212" spans="2:17" x14ac:dyDescent="0.3">
      <c r="B212" s="2">
        <v>-1</v>
      </c>
      <c r="C212" s="2" t="s">
        <v>28</v>
      </c>
      <c r="D212" s="2">
        <v>73</v>
      </c>
      <c r="E212" s="2" t="s">
        <v>18</v>
      </c>
      <c r="F212" s="2" t="s">
        <v>15</v>
      </c>
      <c r="G212" s="2"/>
      <c r="H212" s="2">
        <v>1.3</v>
      </c>
      <c r="I212" s="2">
        <v>-15.3163</v>
      </c>
      <c r="J212" s="2">
        <v>-0.112</v>
      </c>
      <c r="K212" s="2">
        <v>-0.20380000000000001</v>
      </c>
      <c r="L212" s="2">
        <v>5.0000000000000001E-4</v>
      </c>
      <c r="M212" s="2">
        <v>8.2199999999999995E-2</v>
      </c>
      <c r="N212" s="2">
        <v>3.0099999999999998E-2</v>
      </c>
      <c r="O212" s="2">
        <v>73</v>
      </c>
      <c r="P212" s="2">
        <v>1.3</v>
      </c>
      <c r="Q212" s="2"/>
    </row>
    <row r="213" spans="2:17" x14ac:dyDescent="0.3">
      <c r="B213" s="2">
        <v>-1</v>
      </c>
      <c r="C213" s="2" t="s">
        <v>28</v>
      </c>
      <c r="D213" s="2">
        <v>73</v>
      </c>
      <c r="E213" s="2" t="s">
        <v>18</v>
      </c>
      <c r="F213" s="2" t="s">
        <v>15</v>
      </c>
      <c r="G213" s="2"/>
      <c r="H213" s="2">
        <v>2.6</v>
      </c>
      <c r="I213" s="2">
        <v>-15.3163</v>
      </c>
      <c r="J213" s="2">
        <v>-0.112</v>
      </c>
      <c r="K213" s="2">
        <v>-0.20380000000000001</v>
      </c>
      <c r="L213" s="2">
        <v>5.0000000000000001E-4</v>
      </c>
      <c r="M213" s="2">
        <v>0.34720000000000001</v>
      </c>
      <c r="N213" s="2">
        <v>0.1757</v>
      </c>
      <c r="O213" s="2">
        <v>73</v>
      </c>
      <c r="P213" s="2">
        <v>2.6</v>
      </c>
      <c r="Q213" s="2"/>
    </row>
    <row r="214" spans="2:17" x14ac:dyDescent="0.3">
      <c r="B214" s="2">
        <v>-1</v>
      </c>
      <c r="C214" s="2" t="s">
        <v>28</v>
      </c>
      <c r="D214" s="2">
        <v>73</v>
      </c>
      <c r="E214" s="2" t="s">
        <v>19</v>
      </c>
      <c r="F214" s="2" t="s">
        <v>20</v>
      </c>
      <c r="G214" s="2" t="s">
        <v>21</v>
      </c>
      <c r="H214" s="2">
        <v>0</v>
      </c>
      <c r="I214" s="2">
        <v>1.72E-2</v>
      </c>
      <c r="J214" s="2">
        <v>0.32290000000000002</v>
      </c>
      <c r="K214" s="2">
        <v>1.7600000000000001E-2</v>
      </c>
      <c r="L214" s="2">
        <v>3.3E-3</v>
      </c>
      <c r="M214" s="2">
        <v>2.52E-2</v>
      </c>
      <c r="N214" s="2">
        <v>0.48780000000000001</v>
      </c>
      <c r="O214" s="2">
        <v>73</v>
      </c>
      <c r="P214" s="2">
        <v>0</v>
      </c>
      <c r="Q214" s="2"/>
    </row>
    <row r="215" spans="2:17" x14ac:dyDescent="0.3">
      <c r="B215" s="2">
        <v>-1</v>
      </c>
      <c r="C215" s="2" t="s">
        <v>28</v>
      </c>
      <c r="D215" s="2">
        <v>73</v>
      </c>
      <c r="E215" s="2" t="s">
        <v>19</v>
      </c>
      <c r="F215" s="2" t="s">
        <v>20</v>
      </c>
      <c r="G215" s="2" t="s">
        <v>21</v>
      </c>
      <c r="H215" s="2">
        <v>1.3</v>
      </c>
      <c r="I215" s="2">
        <v>1.72E-2</v>
      </c>
      <c r="J215" s="2">
        <v>0.32290000000000002</v>
      </c>
      <c r="K215" s="2">
        <v>1.7600000000000001E-2</v>
      </c>
      <c r="L215" s="2">
        <v>3.3E-3</v>
      </c>
      <c r="M215" s="2">
        <v>2.5999999999999999E-3</v>
      </c>
      <c r="N215" s="2">
        <v>6.8099999999999994E-2</v>
      </c>
      <c r="O215" s="2">
        <v>73</v>
      </c>
      <c r="P215" s="2">
        <v>1.3</v>
      </c>
      <c r="Q215" s="2"/>
    </row>
    <row r="216" spans="2:17" x14ac:dyDescent="0.3">
      <c r="B216" s="2">
        <v>-1</v>
      </c>
      <c r="C216" s="2" t="s">
        <v>28</v>
      </c>
      <c r="D216" s="2">
        <v>73</v>
      </c>
      <c r="E216" s="2" t="s">
        <v>19</v>
      </c>
      <c r="F216" s="2" t="s">
        <v>20</v>
      </c>
      <c r="G216" s="2" t="s">
        <v>21</v>
      </c>
      <c r="H216" s="2">
        <v>2.6</v>
      </c>
      <c r="I216" s="2">
        <v>1.72E-2</v>
      </c>
      <c r="J216" s="2">
        <v>0.32290000000000002</v>
      </c>
      <c r="K216" s="2">
        <v>1.7600000000000001E-2</v>
      </c>
      <c r="L216" s="2">
        <v>3.3E-3</v>
      </c>
      <c r="M216" s="2">
        <v>2.06E-2</v>
      </c>
      <c r="N216" s="2">
        <v>0.3518</v>
      </c>
      <c r="O216" s="2">
        <v>73</v>
      </c>
      <c r="P216" s="2">
        <v>2.6</v>
      </c>
      <c r="Q216" s="2"/>
    </row>
    <row r="217" spans="2:17" x14ac:dyDescent="0.3">
      <c r="B217" s="2">
        <v>-1</v>
      </c>
      <c r="C217" s="2" t="s">
        <v>28</v>
      </c>
      <c r="D217" s="2">
        <v>73</v>
      </c>
      <c r="E217" s="2" t="s">
        <v>22</v>
      </c>
      <c r="F217" s="2" t="s">
        <v>20</v>
      </c>
      <c r="G217" s="2" t="s">
        <v>21</v>
      </c>
      <c r="H217" s="2">
        <v>0</v>
      </c>
      <c r="I217" s="2">
        <v>8.1100000000000005E-2</v>
      </c>
      <c r="J217" s="2">
        <v>4.4499999999999998E-2</v>
      </c>
      <c r="K217" s="2">
        <v>0.10829999999999999</v>
      </c>
      <c r="L217" s="2">
        <v>6.9999999999999999E-4</v>
      </c>
      <c r="M217" s="2">
        <v>0.16220000000000001</v>
      </c>
      <c r="N217" s="2">
        <v>6.2799999999999995E-2</v>
      </c>
      <c r="O217" s="2">
        <v>73</v>
      </c>
      <c r="P217" s="2">
        <v>0</v>
      </c>
      <c r="Q217" s="2"/>
    </row>
    <row r="218" spans="2:17" x14ac:dyDescent="0.3">
      <c r="B218" s="2">
        <v>-1</v>
      </c>
      <c r="C218" s="2" t="s">
        <v>28</v>
      </c>
      <c r="D218" s="2">
        <v>73</v>
      </c>
      <c r="E218" s="2" t="s">
        <v>22</v>
      </c>
      <c r="F218" s="2" t="s">
        <v>20</v>
      </c>
      <c r="G218" s="2" t="s">
        <v>21</v>
      </c>
      <c r="H218" s="2">
        <v>1.3</v>
      </c>
      <c r="I218" s="2">
        <v>8.1100000000000005E-2</v>
      </c>
      <c r="J218" s="2">
        <v>4.4499999999999998E-2</v>
      </c>
      <c r="K218" s="2">
        <v>0.10829999999999999</v>
      </c>
      <c r="L218" s="2">
        <v>6.9999999999999999E-4</v>
      </c>
      <c r="M218" s="2">
        <v>2.1600000000000001E-2</v>
      </c>
      <c r="N218" s="2">
        <v>1.2E-2</v>
      </c>
      <c r="O218" s="2">
        <v>73</v>
      </c>
      <c r="P218" s="2">
        <v>1.3</v>
      </c>
      <c r="Q218" s="2"/>
    </row>
    <row r="219" spans="2:17" x14ac:dyDescent="0.3">
      <c r="B219" s="2">
        <v>-1</v>
      </c>
      <c r="C219" s="2" t="s">
        <v>28</v>
      </c>
      <c r="D219" s="2">
        <v>73</v>
      </c>
      <c r="E219" s="2" t="s">
        <v>22</v>
      </c>
      <c r="F219" s="2" t="s">
        <v>20</v>
      </c>
      <c r="G219" s="2" t="s">
        <v>21</v>
      </c>
      <c r="H219" s="2">
        <v>2.6</v>
      </c>
      <c r="I219" s="2">
        <v>8.1100000000000005E-2</v>
      </c>
      <c r="J219" s="2">
        <v>4.4499999999999998E-2</v>
      </c>
      <c r="K219" s="2">
        <v>0.10829999999999999</v>
      </c>
      <c r="L219" s="2">
        <v>6.9999999999999999E-4</v>
      </c>
      <c r="M219" s="2">
        <v>0.1195</v>
      </c>
      <c r="N219" s="2">
        <v>5.4800000000000001E-2</v>
      </c>
      <c r="O219" s="2">
        <v>73</v>
      </c>
      <c r="P219" s="2">
        <v>2.6</v>
      </c>
      <c r="Q219" s="2"/>
    </row>
    <row r="220" spans="2:17" x14ac:dyDescent="0.3">
      <c r="B220" s="2">
        <v>-1</v>
      </c>
      <c r="C220" s="2" t="s">
        <v>28</v>
      </c>
      <c r="D220" s="2">
        <v>73</v>
      </c>
      <c r="E220" s="2" t="s">
        <v>23</v>
      </c>
      <c r="F220" s="2" t="s">
        <v>24</v>
      </c>
      <c r="G220" s="2"/>
      <c r="H220" s="2">
        <v>0</v>
      </c>
      <c r="I220" s="2">
        <v>-26.519300000000001</v>
      </c>
      <c r="J220" s="2">
        <v>-0.16259999999999999</v>
      </c>
      <c r="K220" s="2">
        <v>-0.31580000000000003</v>
      </c>
      <c r="L220" s="2">
        <v>4.0000000000000002E-4</v>
      </c>
      <c r="M220" s="2">
        <v>-0.28249999999999997</v>
      </c>
      <c r="N220" s="2">
        <v>-0.17</v>
      </c>
      <c r="O220" s="2">
        <v>73</v>
      </c>
      <c r="P220" s="2">
        <v>0</v>
      </c>
      <c r="Q220" s="2"/>
    </row>
    <row r="221" spans="2:17" x14ac:dyDescent="0.3">
      <c r="B221" s="2">
        <v>-1</v>
      </c>
      <c r="C221" s="2" t="s">
        <v>28</v>
      </c>
      <c r="D221" s="2">
        <v>73</v>
      </c>
      <c r="E221" s="2" t="s">
        <v>23</v>
      </c>
      <c r="F221" s="2" t="s">
        <v>24</v>
      </c>
      <c r="G221" s="2"/>
      <c r="H221" s="2">
        <v>1.3</v>
      </c>
      <c r="I221" s="2">
        <v>-25.8368</v>
      </c>
      <c r="J221" s="2">
        <v>-0.16259999999999999</v>
      </c>
      <c r="K221" s="2">
        <v>-0.31580000000000003</v>
      </c>
      <c r="L221" s="2">
        <v>4.0000000000000002E-4</v>
      </c>
      <c r="M221" s="2">
        <v>0.128</v>
      </c>
      <c r="N221" s="2">
        <v>4.1399999999999999E-2</v>
      </c>
      <c r="O221" s="2">
        <v>73</v>
      </c>
      <c r="P221" s="2">
        <v>1.3</v>
      </c>
      <c r="Q221" s="2"/>
    </row>
    <row r="222" spans="2:17" x14ac:dyDescent="0.3">
      <c r="B222" s="2">
        <v>-1</v>
      </c>
      <c r="C222" s="2" t="s">
        <v>28</v>
      </c>
      <c r="D222" s="2">
        <v>73</v>
      </c>
      <c r="E222" s="2" t="s">
        <v>23</v>
      </c>
      <c r="F222" s="2" t="s">
        <v>24</v>
      </c>
      <c r="G222" s="2"/>
      <c r="H222" s="2">
        <v>2.6</v>
      </c>
      <c r="I222" s="2">
        <v>-25.154299999999999</v>
      </c>
      <c r="J222" s="2">
        <v>-0.16259999999999999</v>
      </c>
      <c r="K222" s="2">
        <v>-0.31580000000000003</v>
      </c>
      <c r="L222" s="2">
        <v>4.0000000000000002E-4</v>
      </c>
      <c r="M222" s="2">
        <v>0.53859999999999997</v>
      </c>
      <c r="N222" s="2">
        <v>0.25280000000000002</v>
      </c>
      <c r="O222" s="2">
        <v>73</v>
      </c>
      <c r="P222" s="2">
        <v>2.6</v>
      </c>
      <c r="Q222" s="2"/>
    </row>
    <row r="223" spans="2:17" x14ac:dyDescent="0.3">
      <c r="B223" s="2">
        <v>-1</v>
      </c>
      <c r="C223" s="2" t="s">
        <v>28</v>
      </c>
      <c r="D223" s="2">
        <v>73</v>
      </c>
      <c r="E223" s="2" t="s">
        <v>25</v>
      </c>
      <c r="F223" s="2" t="s">
        <v>24</v>
      </c>
      <c r="G223" s="2"/>
      <c r="H223" s="2">
        <v>0</v>
      </c>
      <c r="I223" s="2">
        <v>-47.236899999999999</v>
      </c>
      <c r="J223" s="2">
        <v>-0.31859999999999999</v>
      </c>
      <c r="K223" s="2">
        <v>-0.5968</v>
      </c>
      <c r="L223" s="2">
        <v>1.1000000000000001E-3</v>
      </c>
      <c r="M223" s="2">
        <v>-0.53449999999999998</v>
      </c>
      <c r="N223" s="2">
        <v>-0.3306</v>
      </c>
      <c r="O223" s="2">
        <v>73</v>
      </c>
      <c r="P223" s="2">
        <v>0</v>
      </c>
      <c r="Q223" s="2"/>
    </row>
    <row r="224" spans="2:17" x14ac:dyDescent="0.3">
      <c r="B224" s="2">
        <v>-1</v>
      </c>
      <c r="C224" s="2" t="s">
        <v>28</v>
      </c>
      <c r="D224" s="2">
        <v>73</v>
      </c>
      <c r="E224" s="2" t="s">
        <v>25</v>
      </c>
      <c r="F224" s="2" t="s">
        <v>24</v>
      </c>
      <c r="G224" s="2"/>
      <c r="H224" s="2">
        <v>1.3</v>
      </c>
      <c r="I224" s="2">
        <v>-46.651899999999998</v>
      </c>
      <c r="J224" s="2">
        <v>-0.31859999999999999</v>
      </c>
      <c r="K224" s="2">
        <v>-0.5968</v>
      </c>
      <c r="L224" s="2">
        <v>1.1000000000000001E-3</v>
      </c>
      <c r="M224" s="2">
        <v>0.24129999999999999</v>
      </c>
      <c r="N224" s="2">
        <v>8.3599999999999994E-2</v>
      </c>
      <c r="O224" s="2">
        <v>73</v>
      </c>
      <c r="P224" s="2">
        <v>1.3</v>
      </c>
      <c r="Q224" s="2"/>
    </row>
    <row r="225" spans="2:17" x14ac:dyDescent="0.3">
      <c r="B225" s="2">
        <v>-1</v>
      </c>
      <c r="C225" s="2" t="s">
        <v>28</v>
      </c>
      <c r="D225" s="2">
        <v>73</v>
      </c>
      <c r="E225" s="2" t="s">
        <v>25</v>
      </c>
      <c r="F225" s="2" t="s">
        <v>24</v>
      </c>
      <c r="G225" s="2"/>
      <c r="H225" s="2">
        <v>2.6</v>
      </c>
      <c r="I225" s="2">
        <v>-46.066899999999997</v>
      </c>
      <c r="J225" s="2">
        <v>-0.31859999999999999</v>
      </c>
      <c r="K225" s="2">
        <v>-0.5968</v>
      </c>
      <c r="L225" s="2">
        <v>1.1000000000000001E-3</v>
      </c>
      <c r="M225" s="2">
        <v>1.0170999999999999</v>
      </c>
      <c r="N225" s="2">
        <v>0.49780000000000002</v>
      </c>
      <c r="O225" s="2">
        <v>73</v>
      </c>
      <c r="P225" s="2">
        <v>2.6</v>
      </c>
      <c r="Q225" s="2"/>
    </row>
    <row r="226" spans="2:17" x14ac:dyDescent="0.3">
      <c r="B226" s="2">
        <v>-1</v>
      </c>
      <c r="C226" s="2" t="s">
        <v>28</v>
      </c>
      <c r="D226" s="2">
        <v>73</v>
      </c>
      <c r="E226" s="2" t="s">
        <v>26</v>
      </c>
      <c r="F226" s="2" t="s">
        <v>24</v>
      </c>
      <c r="G226" s="2" t="s">
        <v>21</v>
      </c>
      <c r="H226" s="2">
        <v>0</v>
      </c>
      <c r="I226" s="2">
        <v>-17.024000000000001</v>
      </c>
      <c r="J226" s="2">
        <v>0.34760000000000002</v>
      </c>
      <c r="K226" s="2">
        <v>-0.1784</v>
      </c>
      <c r="L226" s="2">
        <v>4.8999999999999998E-3</v>
      </c>
      <c r="M226" s="2">
        <v>-0.1464</v>
      </c>
      <c r="N226" s="2">
        <v>0.57369999999999999</v>
      </c>
      <c r="O226" s="2">
        <v>73</v>
      </c>
      <c r="P226" s="2">
        <v>0</v>
      </c>
      <c r="Q226" s="2"/>
    </row>
    <row r="227" spans="2:17" x14ac:dyDescent="0.3">
      <c r="B227" s="2">
        <v>-1</v>
      </c>
      <c r="C227" s="2" t="s">
        <v>28</v>
      </c>
      <c r="D227" s="2">
        <v>73</v>
      </c>
      <c r="E227" s="2" t="s">
        <v>26</v>
      </c>
      <c r="F227" s="2" t="s">
        <v>24</v>
      </c>
      <c r="G227" s="2" t="s">
        <v>21</v>
      </c>
      <c r="H227" s="2">
        <v>1.3</v>
      </c>
      <c r="I227" s="2">
        <v>-16.5853</v>
      </c>
      <c r="J227" s="2">
        <v>0.34760000000000002</v>
      </c>
      <c r="K227" s="2">
        <v>-0.1784</v>
      </c>
      <c r="L227" s="2">
        <v>4.8999999999999998E-3</v>
      </c>
      <c r="M227" s="2">
        <v>8.5999999999999993E-2</v>
      </c>
      <c r="N227" s="2">
        <v>0.12189999999999999</v>
      </c>
      <c r="O227" s="2">
        <v>73</v>
      </c>
      <c r="P227" s="2">
        <v>1.3</v>
      </c>
      <c r="Q227" s="2"/>
    </row>
    <row r="228" spans="2:17" x14ac:dyDescent="0.3">
      <c r="B228" s="2">
        <v>-1</v>
      </c>
      <c r="C228" s="2" t="s">
        <v>28</v>
      </c>
      <c r="D228" s="2">
        <v>73</v>
      </c>
      <c r="E228" s="2" t="s">
        <v>26</v>
      </c>
      <c r="F228" s="2" t="s">
        <v>24</v>
      </c>
      <c r="G228" s="2" t="s">
        <v>21</v>
      </c>
      <c r="H228" s="2">
        <v>2.6</v>
      </c>
      <c r="I228" s="2">
        <v>-16.1465</v>
      </c>
      <c r="J228" s="2">
        <v>0.34760000000000002</v>
      </c>
      <c r="K228" s="2">
        <v>-0.1784</v>
      </c>
      <c r="L228" s="2">
        <v>4.8999999999999998E-3</v>
      </c>
      <c r="M228" s="2">
        <v>0.375</v>
      </c>
      <c r="N228" s="2">
        <v>0.65500000000000003</v>
      </c>
      <c r="O228" s="2">
        <v>73</v>
      </c>
      <c r="P228" s="2">
        <v>2.6</v>
      </c>
      <c r="Q228" s="2"/>
    </row>
    <row r="229" spans="2:17" x14ac:dyDescent="0.3">
      <c r="B229" s="2">
        <v>-1</v>
      </c>
      <c r="C229" s="2" t="s">
        <v>28</v>
      </c>
      <c r="D229" s="2">
        <v>73</v>
      </c>
      <c r="E229" s="2" t="s">
        <v>26</v>
      </c>
      <c r="F229" s="2" t="s">
        <v>24</v>
      </c>
      <c r="G229" s="2" t="s">
        <v>27</v>
      </c>
      <c r="H229" s="2">
        <v>0</v>
      </c>
      <c r="I229" s="2">
        <v>-17.072199999999999</v>
      </c>
      <c r="J229" s="2">
        <v>-0.55659999999999998</v>
      </c>
      <c r="K229" s="2">
        <v>-0.2276</v>
      </c>
      <c r="L229" s="2">
        <v>-4.4000000000000003E-3</v>
      </c>
      <c r="M229" s="2">
        <v>-0.21690000000000001</v>
      </c>
      <c r="N229" s="2">
        <v>-0.79220000000000002</v>
      </c>
      <c r="O229" s="2">
        <v>73</v>
      </c>
      <c r="P229" s="2">
        <v>0</v>
      </c>
      <c r="Q229" s="2"/>
    </row>
    <row r="230" spans="2:17" x14ac:dyDescent="0.3">
      <c r="B230" s="2">
        <v>-1</v>
      </c>
      <c r="C230" s="2" t="s">
        <v>28</v>
      </c>
      <c r="D230" s="2">
        <v>73</v>
      </c>
      <c r="E230" s="2" t="s">
        <v>26</v>
      </c>
      <c r="F230" s="2" t="s">
        <v>24</v>
      </c>
      <c r="G230" s="2" t="s">
        <v>27</v>
      </c>
      <c r="H230" s="2">
        <v>1.3</v>
      </c>
      <c r="I230" s="2">
        <v>-16.633500000000002</v>
      </c>
      <c r="J230" s="2">
        <v>-0.55659999999999998</v>
      </c>
      <c r="K230" s="2">
        <v>-0.2276</v>
      </c>
      <c r="L230" s="2">
        <v>-4.4000000000000003E-3</v>
      </c>
      <c r="M230" s="2">
        <v>7.8600000000000003E-2</v>
      </c>
      <c r="N230" s="2">
        <v>-6.8699999999999997E-2</v>
      </c>
      <c r="O230" s="2">
        <v>73</v>
      </c>
      <c r="P230" s="2">
        <v>1.3</v>
      </c>
      <c r="Q230" s="2"/>
    </row>
    <row r="231" spans="2:17" x14ac:dyDescent="0.3">
      <c r="B231" s="2">
        <v>-1</v>
      </c>
      <c r="C231" s="2" t="s">
        <v>28</v>
      </c>
      <c r="D231" s="2">
        <v>73</v>
      </c>
      <c r="E231" s="2" t="s">
        <v>26</v>
      </c>
      <c r="F231" s="2" t="s">
        <v>24</v>
      </c>
      <c r="G231" s="2" t="s">
        <v>27</v>
      </c>
      <c r="H231" s="2">
        <v>2.6</v>
      </c>
      <c r="I231" s="2">
        <v>-16.194700000000001</v>
      </c>
      <c r="J231" s="2">
        <v>-0.55659999999999998</v>
      </c>
      <c r="K231" s="2">
        <v>-0.2276</v>
      </c>
      <c r="L231" s="2">
        <v>-4.4000000000000003E-3</v>
      </c>
      <c r="M231" s="2">
        <v>0.31740000000000002</v>
      </c>
      <c r="N231" s="2">
        <v>-0.33</v>
      </c>
      <c r="O231" s="2">
        <v>73</v>
      </c>
      <c r="P231" s="2">
        <v>2.6</v>
      </c>
      <c r="Q231" s="2"/>
    </row>
    <row r="232" spans="2:17" x14ac:dyDescent="0.3">
      <c r="B232" s="2">
        <v>-1</v>
      </c>
      <c r="C232" s="2" t="s">
        <v>28</v>
      </c>
      <c r="D232" s="2">
        <v>73</v>
      </c>
      <c r="E232" s="2" t="s">
        <v>28</v>
      </c>
      <c r="F232" s="2" t="s">
        <v>24</v>
      </c>
      <c r="G232" s="2" t="s">
        <v>21</v>
      </c>
      <c r="H232" s="2">
        <v>0</v>
      </c>
      <c r="I232" s="2">
        <v>-38.023000000000003</v>
      </c>
      <c r="J232" s="2">
        <v>0.20069999999999999</v>
      </c>
      <c r="K232" s="2">
        <v>-0.44990000000000002</v>
      </c>
      <c r="L232" s="2">
        <v>5.4000000000000003E-3</v>
      </c>
      <c r="M232" s="2">
        <v>-0.3896</v>
      </c>
      <c r="N232" s="2">
        <v>0.42170000000000002</v>
      </c>
      <c r="O232" s="2">
        <v>73</v>
      </c>
      <c r="P232" s="2">
        <v>0</v>
      </c>
      <c r="Q232" s="2"/>
    </row>
    <row r="233" spans="2:17" x14ac:dyDescent="0.3">
      <c r="B233" s="2">
        <v>-1</v>
      </c>
      <c r="C233" s="2" t="s">
        <v>28</v>
      </c>
      <c r="D233" s="2">
        <v>73</v>
      </c>
      <c r="E233" s="2" t="s">
        <v>28</v>
      </c>
      <c r="F233" s="2" t="s">
        <v>24</v>
      </c>
      <c r="G233" s="2" t="s">
        <v>21</v>
      </c>
      <c r="H233" s="2">
        <v>1.3</v>
      </c>
      <c r="I233" s="2">
        <v>-37.438000000000002</v>
      </c>
      <c r="J233" s="2">
        <v>0.20069999999999999</v>
      </c>
      <c r="K233" s="2">
        <v>-0.44990000000000002</v>
      </c>
      <c r="L233" s="2">
        <v>5.4000000000000003E-3</v>
      </c>
      <c r="M233" s="2">
        <v>0.1956</v>
      </c>
      <c r="N233" s="2">
        <v>0.1608</v>
      </c>
      <c r="O233" s="2">
        <v>73</v>
      </c>
      <c r="P233" s="2">
        <v>1.3</v>
      </c>
      <c r="Q233" s="2"/>
    </row>
    <row r="234" spans="2:17" x14ac:dyDescent="0.3">
      <c r="B234" s="2">
        <v>-1</v>
      </c>
      <c r="C234" s="2" t="s">
        <v>28</v>
      </c>
      <c r="D234" s="2">
        <v>73</v>
      </c>
      <c r="E234" s="2" t="s">
        <v>28</v>
      </c>
      <c r="F234" s="2" t="s">
        <v>24</v>
      </c>
      <c r="G234" s="2" t="s">
        <v>21</v>
      </c>
      <c r="H234" s="2">
        <v>2.6</v>
      </c>
      <c r="I234" s="2">
        <v>-36.853000000000002</v>
      </c>
      <c r="J234" s="2">
        <v>0.20069999999999999</v>
      </c>
      <c r="K234" s="2">
        <v>-0.44990000000000002</v>
      </c>
      <c r="L234" s="2">
        <v>5.4000000000000003E-3</v>
      </c>
      <c r="M234" s="2">
        <v>0.83760000000000001</v>
      </c>
      <c r="N234" s="2">
        <v>0.88480000000000003</v>
      </c>
      <c r="O234" s="2">
        <v>73</v>
      </c>
      <c r="P234" s="2">
        <v>2.6</v>
      </c>
      <c r="Q234" s="2"/>
    </row>
    <row r="235" spans="2:17" x14ac:dyDescent="0.3">
      <c r="B235" s="2">
        <v>-1</v>
      </c>
      <c r="C235" s="2" t="s">
        <v>28</v>
      </c>
      <c r="D235" s="2">
        <v>73</v>
      </c>
      <c r="E235" s="2" t="s">
        <v>28</v>
      </c>
      <c r="F235" s="2" t="s">
        <v>24</v>
      </c>
      <c r="G235" s="2" t="s">
        <v>27</v>
      </c>
      <c r="H235" s="2">
        <v>0</v>
      </c>
      <c r="I235" s="2">
        <v>-38.071199999999997</v>
      </c>
      <c r="J235" s="2">
        <v>-0.70350000000000001</v>
      </c>
      <c r="K235" s="2">
        <v>-0.49909999999999999</v>
      </c>
      <c r="L235" s="2">
        <v>-3.8E-3</v>
      </c>
      <c r="M235" s="2">
        <v>-0.46010000000000001</v>
      </c>
      <c r="N235" s="2">
        <v>-0.94430000000000003</v>
      </c>
      <c r="O235" s="2">
        <v>73</v>
      </c>
      <c r="P235" s="2">
        <v>0</v>
      </c>
      <c r="Q235" s="2"/>
    </row>
    <row r="236" spans="2:17" x14ac:dyDescent="0.3">
      <c r="B236" s="2">
        <v>-1</v>
      </c>
      <c r="C236" s="2" t="s">
        <v>28</v>
      </c>
      <c r="D236" s="2">
        <v>73</v>
      </c>
      <c r="E236" s="2" t="s">
        <v>28</v>
      </c>
      <c r="F236" s="2" t="s">
        <v>24</v>
      </c>
      <c r="G236" s="2" t="s">
        <v>27</v>
      </c>
      <c r="H236" s="2">
        <v>1.3</v>
      </c>
      <c r="I236" s="2">
        <v>-37.486199999999997</v>
      </c>
      <c r="J236" s="2">
        <v>-0.70350000000000001</v>
      </c>
      <c r="K236" s="2">
        <v>-0.49909999999999999</v>
      </c>
      <c r="L236" s="2">
        <v>-3.8E-3</v>
      </c>
      <c r="M236" s="2">
        <v>0.1883</v>
      </c>
      <c r="N236" s="2">
        <v>-2.98E-2</v>
      </c>
      <c r="O236" s="2">
        <v>73</v>
      </c>
      <c r="P236" s="2">
        <v>1.3</v>
      </c>
      <c r="Q236" s="2"/>
    </row>
    <row r="237" spans="2:17" x14ac:dyDescent="0.3">
      <c r="B237" s="2">
        <v>-1</v>
      </c>
      <c r="C237" s="2" t="s">
        <v>28</v>
      </c>
      <c r="D237" s="2">
        <v>73</v>
      </c>
      <c r="E237" s="2" t="s">
        <v>28</v>
      </c>
      <c r="F237" s="2" t="s">
        <v>24</v>
      </c>
      <c r="G237" s="2" t="s">
        <v>27</v>
      </c>
      <c r="H237" s="2">
        <v>2.6</v>
      </c>
      <c r="I237" s="2">
        <v>-36.901200000000003</v>
      </c>
      <c r="J237" s="2">
        <v>-0.70350000000000001</v>
      </c>
      <c r="K237" s="2">
        <v>-0.49909999999999999</v>
      </c>
      <c r="L237" s="2">
        <v>-3.8E-3</v>
      </c>
      <c r="M237" s="2">
        <v>0.78</v>
      </c>
      <c r="N237" s="2">
        <v>-0.10009999999999999</v>
      </c>
      <c r="O237" s="2">
        <v>73</v>
      </c>
      <c r="P237" s="2">
        <v>2.6</v>
      </c>
      <c r="Q237" s="2"/>
    </row>
    <row r="238" spans="2:17" x14ac:dyDescent="0.3">
      <c r="B238" s="2">
        <v>-1</v>
      </c>
      <c r="C238" s="2" t="s">
        <v>28</v>
      </c>
      <c r="D238" s="2">
        <v>73</v>
      </c>
      <c r="E238" s="2" t="s">
        <v>29</v>
      </c>
      <c r="F238" s="2" t="s">
        <v>24</v>
      </c>
      <c r="G238" s="2" t="s">
        <v>21</v>
      </c>
      <c r="H238" s="2">
        <v>0</v>
      </c>
      <c r="I238" s="2">
        <v>-37.933599999999998</v>
      </c>
      <c r="J238" s="2">
        <v>-0.18920000000000001</v>
      </c>
      <c r="K238" s="2">
        <v>-0.32290000000000002</v>
      </c>
      <c r="L238" s="2">
        <v>1.8E-3</v>
      </c>
      <c r="M238" s="2">
        <v>-0.1978</v>
      </c>
      <c r="N238" s="2">
        <v>-0.1734</v>
      </c>
      <c r="O238" s="2">
        <v>73</v>
      </c>
      <c r="P238" s="2">
        <v>0</v>
      </c>
      <c r="Q238" s="2"/>
    </row>
    <row r="239" spans="2:17" x14ac:dyDescent="0.3">
      <c r="B239" s="2">
        <v>-1</v>
      </c>
      <c r="C239" s="2" t="s">
        <v>28</v>
      </c>
      <c r="D239" s="2">
        <v>73</v>
      </c>
      <c r="E239" s="2" t="s">
        <v>29</v>
      </c>
      <c r="F239" s="2" t="s">
        <v>24</v>
      </c>
      <c r="G239" s="2" t="s">
        <v>21</v>
      </c>
      <c r="H239" s="2">
        <v>1.3</v>
      </c>
      <c r="I239" s="2">
        <v>-37.348599999999998</v>
      </c>
      <c r="J239" s="2">
        <v>-0.18920000000000001</v>
      </c>
      <c r="K239" s="2">
        <v>-0.32290000000000002</v>
      </c>
      <c r="L239" s="2">
        <v>1.8E-3</v>
      </c>
      <c r="M239" s="2">
        <v>0.22220000000000001</v>
      </c>
      <c r="N239" s="2">
        <v>8.2299999999999998E-2</v>
      </c>
      <c r="O239" s="2">
        <v>73</v>
      </c>
      <c r="P239" s="2">
        <v>1.3</v>
      </c>
      <c r="Q239" s="2"/>
    </row>
    <row r="240" spans="2:17" x14ac:dyDescent="0.3">
      <c r="B240" s="2">
        <v>-1</v>
      </c>
      <c r="C240" s="2" t="s">
        <v>28</v>
      </c>
      <c r="D240" s="2">
        <v>73</v>
      </c>
      <c r="E240" s="2" t="s">
        <v>29</v>
      </c>
      <c r="F240" s="2" t="s">
        <v>24</v>
      </c>
      <c r="G240" s="2" t="s">
        <v>21</v>
      </c>
      <c r="H240" s="2">
        <v>2.6</v>
      </c>
      <c r="I240" s="2">
        <v>-36.763599999999997</v>
      </c>
      <c r="J240" s="2">
        <v>-0.18920000000000001</v>
      </c>
      <c r="K240" s="2">
        <v>-0.32290000000000002</v>
      </c>
      <c r="L240" s="2">
        <v>1.8E-3</v>
      </c>
      <c r="M240" s="2">
        <v>0.97609999999999997</v>
      </c>
      <c r="N240" s="2">
        <v>0.46910000000000002</v>
      </c>
      <c r="O240" s="2">
        <v>73</v>
      </c>
      <c r="P240" s="2">
        <v>2.6</v>
      </c>
      <c r="Q240" s="2"/>
    </row>
    <row r="241" spans="2:17" x14ac:dyDescent="0.3">
      <c r="B241" s="2">
        <v>-1</v>
      </c>
      <c r="C241" s="2" t="s">
        <v>28</v>
      </c>
      <c r="D241" s="2">
        <v>73</v>
      </c>
      <c r="E241" s="2" t="s">
        <v>29</v>
      </c>
      <c r="F241" s="2" t="s">
        <v>24</v>
      </c>
      <c r="G241" s="2" t="s">
        <v>27</v>
      </c>
      <c r="H241" s="2">
        <v>0</v>
      </c>
      <c r="I241" s="2">
        <v>-38.160699999999999</v>
      </c>
      <c r="J241" s="2">
        <v>-0.31369999999999998</v>
      </c>
      <c r="K241" s="2">
        <v>-0.62609999999999999</v>
      </c>
      <c r="L241" s="2">
        <v>-2.0000000000000001E-4</v>
      </c>
      <c r="M241" s="2">
        <v>-0.65190000000000003</v>
      </c>
      <c r="N241" s="2">
        <v>-0.34920000000000001</v>
      </c>
      <c r="O241" s="2">
        <v>73</v>
      </c>
      <c r="P241" s="2">
        <v>0</v>
      </c>
      <c r="Q241" s="2"/>
    </row>
    <row r="242" spans="2:17" x14ac:dyDescent="0.3">
      <c r="B242" s="2">
        <v>-1</v>
      </c>
      <c r="C242" s="2" t="s">
        <v>28</v>
      </c>
      <c r="D242" s="2">
        <v>73</v>
      </c>
      <c r="E242" s="2" t="s">
        <v>29</v>
      </c>
      <c r="F242" s="2" t="s">
        <v>24</v>
      </c>
      <c r="G242" s="2" t="s">
        <v>27</v>
      </c>
      <c r="H242" s="2">
        <v>1.3</v>
      </c>
      <c r="I242" s="2">
        <v>-37.575699999999998</v>
      </c>
      <c r="J242" s="2">
        <v>-0.31369999999999998</v>
      </c>
      <c r="K242" s="2">
        <v>-0.62609999999999999</v>
      </c>
      <c r="L242" s="2">
        <v>-2.0000000000000001E-4</v>
      </c>
      <c r="M242" s="2">
        <v>0.16170000000000001</v>
      </c>
      <c r="N242" s="2">
        <v>4.8800000000000003E-2</v>
      </c>
      <c r="O242" s="2">
        <v>73</v>
      </c>
      <c r="P242" s="2">
        <v>1.3</v>
      </c>
      <c r="Q242" s="2"/>
    </row>
    <row r="243" spans="2:17" x14ac:dyDescent="0.3">
      <c r="B243" s="2">
        <v>-1</v>
      </c>
      <c r="C243" s="2" t="s">
        <v>28</v>
      </c>
      <c r="D243" s="2">
        <v>73</v>
      </c>
      <c r="E243" s="2" t="s">
        <v>29</v>
      </c>
      <c r="F243" s="2" t="s">
        <v>24</v>
      </c>
      <c r="G243" s="2" t="s">
        <v>27</v>
      </c>
      <c r="H243" s="2">
        <v>2.6</v>
      </c>
      <c r="I243" s="2">
        <v>-36.990699999999997</v>
      </c>
      <c r="J243" s="2">
        <v>-0.31369999999999998</v>
      </c>
      <c r="K243" s="2">
        <v>-0.62609999999999999</v>
      </c>
      <c r="L243" s="2">
        <v>-2.0000000000000001E-4</v>
      </c>
      <c r="M243" s="2">
        <v>0.64149999999999996</v>
      </c>
      <c r="N243" s="2">
        <v>0.31559999999999999</v>
      </c>
      <c r="O243" s="2">
        <v>73</v>
      </c>
      <c r="P243" s="2">
        <v>2.6</v>
      </c>
      <c r="Q243" s="2"/>
    </row>
    <row r="244" spans="2:17" x14ac:dyDescent="0.3">
      <c r="B244" s="2">
        <v>-1</v>
      </c>
      <c r="C244" s="2" t="s">
        <v>28</v>
      </c>
      <c r="D244" s="2">
        <v>73</v>
      </c>
      <c r="E244" s="2" t="s">
        <v>30</v>
      </c>
      <c r="F244" s="2" t="s">
        <v>24</v>
      </c>
      <c r="G244" s="2" t="s">
        <v>21</v>
      </c>
      <c r="H244" s="2">
        <v>0</v>
      </c>
      <c r="I244" s="2">
        <v>-16.9346</v>
      </c>
      <c r="J244" s="2">
        <v>0.34760000000000002</v>
      </c>
      <c r="K244" s="2">
        <v>-5.1400000000000001E-2</v>
      </c>
      <c r="L244" s="2">
        <v>5.4000000000000003E-3</v>
      </c>
      <c r="M244" s="2">
        <v>4.5400000000000003E-2</v>
      </c>
      <c r="N244" s="2">
        <v>0.57369999999999999</v>
      </c>
      <c r="O244" s="2">
        <v>73</v>
      </c>
      <c r="P244" s="2">
        <v>0</v>
      </c>
      <c r="Q244" s="2"/>
    </row>
    <row r="245" spans="2:17" x14ac:dyDescent="0.3">
      <c r="B245" s="2">
        <v>-1</v>
      </c>
      <c r="C245" s="2" t="s">
        <v>28</v>
      </c>
      <c r="D245" s="2">
        <v>73</v>
      </c>
      <c r="E245" s="2" t="s">
        <v>30</v>
      </c>
      <c r="F245" s="2" t="s">
        <v>24</v>
      </c>
      <c r="G245" s="2" t="s">
        <v>21</v>
      </c>
      <c r="H245" s="2">
        <v>1.3</v>
      </c>
      <c r="I245" s="2">
        <v>-16.495799999999999</v>
      </c>
      <c r="J245" s="2">
        <v>0.34760000000000002</v>
      </c>
      <c r="K245" s="2">
        <v>-5.1400000000000001E-2</v>
      </c>
      <c r="L245" s="2">
        <v>5.4000000000000003E-3</v>
      </c>
      <c r="M245" s="2">
        <v>0.24129999999999999</v>
      </c>
      <c r="N245" s="2">
        <v>0.1608</v>
      </c>
      <c r="O245" s="2">
        <v>73</v>
      </c>
      <c r="P245" s="2">
        <v>1.3</v>
      </c>
      <c r="Q245" s="2"/>
    </row>
    <row r="246" spans="2:17" x14ac:dyDescent="0.3">
      <c r="B246" s="2">
        <v>-1</v>
      </c>
      <c r="C246" s="2" t="s">
        <v>28</v>
      </c>
      <c r="D246" s="2">
        <v>73</v>
      </c>
      <c r="E246" s="2" t="s">
        <v>30</v>
      </c>
      <c r="F246" s="2" t="s">
        <v>24</v>
      </c>
      <c r="G246" s="2" t="s">
        <v>21</v>
      </c>
      <c r="H246" s="2">
        <v>2.6</v>
      </c>
      <c r="I246" s="2">
        <v>-16.057099999999998</v>
      </c>
      <c r="J246" s="2">
        <v>0.34760000000000002</v>
      </c>
      <c r="K246" s="2">
        <v>-5.1400000000000001E-2</v>
      </c>
      <c r="L246" s="2">
        <v>5.4000000000000003E-3</v>
      </c>
      <c r="M246" s="2">
        <v>1.0170999999999999</v>
      </c>
      <c r="N246" s="2">
        <v>0.88480000000000003</v>
      </c>
      <c r="O246" s="2">
        <v>73</v>
      </c>
      <c r="P246" s="2">
        <v>2.6</v>
      </c>
      <c r="Q246" s="2"/>
    </row>
    <row r="247" spans="2:17" x14ac:dyDescent="0.3">
      <c r="B247" s="2">
        <v>-1</v>
      </c>
      <c r="C247" s="2" t="s">
        <v>28</v>
      </c>
      <c r="D247" s="2">
        <v>73</v>
      </c>
      <c r="E247" s="2" t="s">
        <v>30</v>
      </c>
      <c r="F247" s="2" t="s">
        <v>24</v>
      </c>
      <c r="G247" s="2" t="s">
        <v>27</v>
      </c>
      <c r="H247" s="2">
        <v>0</v>
      </c>
      <c r="I247" s="2">
        <v>-47.236899999999999</v>
      </c>
      <c r="J247" s="2">
        <v>-0.70350000000000001</v>
      </c>
      <c r="K247" s="2">
        <v>-0.62609999999999999</v>
      </c>
      <c r="L247" s="2">
        <v>-4.4000000000000003E-3</v>
      </c>
      <c r="M247" s="2">
        <v>-0.65190000000000003</v>
      </c>
      <c r="N247" s="2">
        <v>-0.94430000000000003</v>
      </c>
      <c r="O247" s="2">
        <v>73</v>
      </c>
      <c r="P247" s="2">
        <v>0</v>
      </c>
      <c r="Q247" s="2"/>
    </row>
    <row r="248" spans="2:17" x14ac:dyDescent="0.3">
      <c r="B248" s="2">
        <v>-1</v>
      </c>
      <c r="C248" s="2" t="s">
        <v>28</v>
      </c>
      <c r="D248" s="2">
        <v>73</v>
      </c>
      <c r="E248" s="2" t="s">
        <v>30</v>
      </c>
      <c r="F248" s="2" t="s">
        <v>24</v>
      </c>
      <c r="G248" s="2" t="s">
        <v>27</v>
      </c>
      <c r="H248" s="2">
        <v>1.3</v>
      </c>
      <c r="I248" s="2">
        <v>-46.651899999999998</v>
      </c>
      <c r="J248" s="2">
        <v>-0.70350000000000001</v>
      </c>
      <c r="K248" s="2">
        <v>-0.62609999999999999</v>
      </c>
      <c r="L248" s="2">
        <v>-4.4000000000000003E-3</v>
      </c>
      <c r="M248" s="2">
        <v>5.1999999999999998E-2</v>
      </c>
      <c r="N248" s="2">
        <v>-6.8699999999999997E-2</v>
      </c>
      <c r="O248" s="2">
        <v>73</v>
      </c>
      <c r="P248" s="2">
        <v>1.3</v>
      </c>
      <c r="Q248" s="2"/>
    </row>
    <row r="249" spans="2:17" x14ac:dyDescent="0.3">
      <c r="B249" s="2">
        <v>-1</v>
      </c>
      <c r="C249" s="2" t="s">
        <v>28</v>
      </c>
      <c r="D249" s="2">
        <v>73</v>
      </c>
      <c r="E249" s="2" t="s">
        <v>30</v>
      </c>
      <c r="F249" s="2" t="s">
        <v>24</v>
      </c>
      <c r="G249" s="2" t="s">
        <v>27</v>
      </c>
      <c r="H249" s="2">
        <v>2.6</v>
      </c>
      <c r="I249" s="2">
        <v>-46.066899999999997</v>
      </c>
      <c r="J249" s="2">
        <v>-0.70350000000000001</v>
      </c>
      <c r="K249" s="2">
        <v>-0.62609999999999999</v>
      </c>
      <c r="L249" s="2">
        <v>-4.4000000000000003E-3</v>
      </c>
      <c r="M249" s="2">
        <v>0.1789</v>
      </c>
      <c r="N249" s="2">
        <v>-0.33</v>
      </c>
      <c r="O249" s="2">
        <v>73</v>
      </c>
      <c r="P249" s="2">
        <v>2.6</v>
      </c>
      <c r="Q249" s="2"/>
    </row>
    <row r="250" spans="2:17" x14ac:dyDescent="0.3">
      <c r="B250" s="2">
        <v>-1</v>
      </c>
      <c r="C250" s="2" t="s">
        <v>28</v>
      </c>
      <c r="D250" s="2">
        <v>73</v>
      </c>
      <c r="E250" s="2" t="s">
        <v>31</v>
      </c>
      <c r="F250" s="2" t="s">
        <v>24</v>
      </c>
      <c r="G250" s="2" t="s">
        <v>21</v>
      </c>
      <c r="H250" s="2">
        <v>0</v>
      </c>
      <c r="I250" s="2">
        <v>-16.9346</v>
      </c>
      <c r="J250" s="2">
        <v>-4.2299999999999997E-2</v>
      </c>
      <c r="K250" s="2">
        <v>-5.1400000000000001E-2</v>
      </c>
      <c r="L250" s="2">
        <v>1.2999999999999999E-3</v>
      </c>
      <c r="M250" s="2">
        <v>4.5400000000000003E-2</v>
      </c>
      <c r="N250" s="2">
        <v>-2.1399999999999999E-2</v>
      </c>
      <c r="O250" s="2">
        <v>73</v>
      </c>
      <c r="P250" s="2">
        <v>0</v>
      </c>
      <c r="Q250" s="2"/>
    </row>
    <row r="251" spans="2:17" x14ac:dyDescent="0.3">
      <c r="B251" s="2">
        <v>-1</v>
      </c>
      <c r="C251" s="2" t="s">
        <v>28</v>
      </c>
      <c r="D251" s="2">
        <v>73</v>
      </c>
      <c r="E251" s="2" t="s">
        <v>31</v>
      </c>
      <c r="F251" s="2" t="s">
        <v>24</v>
      </c>
      <c r="G251" s="2" t="s">
        <v>21</v>
      </c>
      <c r="H251" s="2">
        <v>1.3</v>
      </c>
      <c r="I251" s="2">
        <v>-16.495799999999999</v>
      </c>
      <c r="J251" s="2">
        <v>-4.2299999999999997E-2</v>
      </c>
      <c r="K251" s="2">
        <v>-5.1400000000000001E-2</v>
      </c>
      <c r="L251" s="2">
        <v>1.2999999999999999E-3</v>
      </c>
      <c r="M251" s="2">
        <v>0.1125</v>
      </c>
      <c r="N251" s="2">
        <v>4.3400000000000001E-2</v>
      </c>
      <c r="O251" s="2">
        <v>73</v>
      </c>
      <c r="P251" s="2">
        <v>1.3</v>
      </c>
      <c r="Q251" s="2"/>
    </row>
    <row r="252" spans="2:17" x14ac:dyDescent="0.3">
      <c r="B252" s="2">
        <v>-1</v>
      </c>
      <c r="C252" s="2" t="s">
        <v>28</v>
      </c>
      <c r="D252" s="2">
        <v>73</v>
      </c>
      <c r="E252" s="2" t="s">
        <v>31</v>
      </c>
      <c r="F252" s="2" t="s">
        <v>24</v>
      </c>
      <c r="G252" s="2" t="s">
        <v>21</v>
      </c>
      <c r="H252" s="2">
        <v>2.6</v>
      </c>
      <c r="I252" s="2">
        <v>-16.057099999999998</v>
      </c>
      <c r="J252" s="2">
        <v>-4.2299999999999997E-2</v>
      </c>
      <c r="K252" s="2">
        <v>-5.1400000000000001E-2</v>
      </c>
      <c r="L252" s="2">
        <v>1.2999999999999999E-3</v>
      </c>
      <c r="M252" s="2">
        <v>0.51349999999999996</v>
      </c>
      <c r="N252" s="2">
        <v>0.2392</v>
      </c>
      <c r="O252" s="2">
        <v>73</v>
      </c>
      <c r="P252" s="2">
        <v>2.6</v>
      </c>
      <c r="Q252" s="2"/>
    </row>
    <row r="253" spans="2:17" x14ac:dyDescent="0.3">
      <c r="B253" s="2">
        <v>-1</v>
      </c>
      <c r="C253" s="2" t="s">
        <v>28</v>
      </c>
      <c r="D253" s="2">
        <v>73</v>
      </c>
      <c r="E253" s="2" t="s">
        <v>31</v>
      </c>
      <c r="F253" s="2" t="s">
        <v>24</v>
      </c>
      <c r="G253" s="2" t="s">
        <v>27</v>
      </c>
      <c r="H253" s="2">
        <v>0</v>
      </c>
      <c r="I253" s="2">
        <v>-17.1617</v>
      </c>
      <c r="J253" s="2">
        <v>-0.1668</v>
      </c>
      <c r="K253" s="2">
        <v>-0.35460000000000003</v>
      </c>
      <c r="L253" s="2">
        <v>-8.0000000000000004E-4</v>
      </c>
      <c r="M253" s="2">
        <v>-0.40870000000000001</v>
      </c>
      <c r="N253" s="2">
        <v>-0.19719999999999999</v>
      </c>
      <c r="O253" s="2">
        <v>73</v>
      </c>
      <c r="P253" s="2">
        <v>0</v>
      </c>
      <c r="Q253" s="2"/>
    </row>
    <row r="254" spans="2:17" x14ac:dyDescent="0.3">
      <c r="B254" s="2">
        <v>-1</v>
      </c>
      <c r="C254" s="2" t="s">
        <v>28</v>
      </c>
      <c r="D254" s="2">
        <v>73</v>
      </c>
      <c r="E254" s="2" t="s">
        <v>31</v>
      </c>
      <c r="F254" s="2" t="s">
        <v>24</v>
      </c>
      <c r="G254" s="2" t="s">
        <v>27</v>
      </c>
      <c r="H254" s="2">
        <v>1.3</v>
      </c>
      <c r="I254" s="2">
        <v>-16.722999999999999</v>
      </c>
      <c r="J254" s="2">
        <v>-0.1668</v>
      </c>
      <c r="K254" s="2">
        <v>-0.35460000000000003</v>
      </c>
      <c r="L254" s="2">
        <v>-8.0000000000000004E-4</v>
      </c>
      <c r="M254" s="2">
        <v>5.1999999999999998E-2</v>
      </c>
      <c r="N254" s="2">
        <v>9.7999999999999997E-3</v>
      </c>
      <c r="O254" s="2">
        <v>73</v>
      </c>
      <c r="P254" s="2">
        <v>1.3</v>
      </c>
      <c r="Q254" s="2"/>
    </row>
    <row r="255" spans="2:17" x14ac:dyDescent="0.3">
      <c r="B255" s="2">
        <v>-1</v>
      </c>
      <c r="C255" s="2" t="s">
        <v>28</v>
      </c>
      <c r="D255" s="2">
        <v>73</v>
      </c>
      <c r="E255" s="2" t="s">
        <v>31</v>
      </c>
      <c r="F255" s="2" t="s">
        <v>24</v>
      </c>
      <c r="G255" s="2" t="s">
        <v>27</v>
      </c>
      <c r="H255" s="2">
        <v>2.6</v>
      </c>
      <c r="I255" s="2">
        <v>-16.284199999999998</v>
      </c>
      <c r="J255" s="2">
        <v>-0.1668</v>
      </c>
      <c r="K255" s="2">
        <v>-0.35460000000000003</v>
      </c>
      <c r="L255" s="2">
        <v>-8.0000000000000004E-4</v>
      </c>
      <c r="M255" s="2">
        <v>0.1789</v>
      </c>
      <c r="N255" s="2">
        <v>8.5699999999999998E-2</v>
      </c>
      <c r="O255" s="2">
        <v>73</v>
      </c>
      <c r="P255" s="2">
        <v>2.6</v>
      </c>
      <c r="Q255" s="2"/>
    </row>
    <row r="256" spans="2:17" x14ac:dyDescent="0.3">
      <c r="B256" s="2">
        <v>-1</v>
      </c>
      <c r="C256" s="2" t="s">
        <v>28</v>
      </c>
      <c r="D256" s="2">
        <v>73</v>
      </c>
      <c r="E256" s="2" t="s">
        <v>32</v>
      </c>
      <c r="F256" s="2" t="s">
        <v>24</v>
      </c>
      <c r="G256" s="2"/>
      <c r="H256" s="2">
        <v>0</v>
      </c>
      <c r="I256" s="2">
        <v>-34.258699999999997</v>
      </c>
      <c r="J256" s="2">
        <v>-0.22819999999999999</v>
      </c>
      <c r="K256" s="2">
        <v>-0.4294</v>
      </c>
      <c r="L256" s="2">
        <v>8.0000000000000004E-4</v>
      </c>
      <c r="M256" s="2">
        <v>-0.38450000000000001</v>
      </c>
      <c r="N256" s="2">
        <v>-0.23699999999999999</v>
      </c>
      <c r="O256" s="2">
        <v>73</v>
      </c>
      <c r="P256" s="2">
        <v>0</v>
      </c>
      <c r="Q256" s="2"/>
    </row>
    <row r="257" spans="2:17" x14ac:dyDescent="0.3">
      <c r="B257" s="2">
        <v>-1</v>
      </c>
      <c r="C257" s="2" t="s">
        <v>28</v>
      </c>
      <c r="D257" s="2">
        <v>73</v>
      </c>
      <c r="E257" s="2" t="s">
        <v>32</v>
      </c>
      <c r="F257" s="2" t="s">
        <v>24</v>
      </c>
      <c r="G257" s="2"/>
      <c r="H257" s="2">
        <v>1.3</v>
      </c>
      <c r="I257" s="2">
        <v>-33.7712</v>
      </c>
      <c r="J257" s="2">
        <v>-0.22819999999999999</v>
      </c>
      <c r="K257" s="2">
        <v>-0.4294</v>
      </c>
      <c r="L257" s="2">
        <v>8.0000000000000004E-4</v>
      </c>
      <c r="M257" s="2">
        <v>0.17369999999999999</v>
      </c>
      <c r="N257" s="2">
        <v>5.96E-2</v>
      </c>
      <c r="O257" s="2">
        <v>73</v>
      </c>
      <c r="P257" s="2">
        <v>1.3</v>
      </c>
      <c r="Q257" s="2"/>
    </row>
    <row r="258" spans="2:17" x14ac:dyDescent="0.3">
      <c r="B258" s="2">
        <v>-1</v>
      </c>
      <c r="C258" s="2" t="s">
        <v>28</v>
      </c>
      <c r="D258" s="2">
        <v>73</v>
      </c>
      <c r="E258" s="2" t="s">
        <v>32</v>
      </c>
      <c r="F258" s="2" t="s">
        <v>24</v>
      </c>
      <c r="G258" s="2"/>
      <c r="H258" s="2">
        <v>2.6</v>
      </c>
      <c r="I258" s="2">
        <v>-33.283700000000003</v>
      </c>
      <c r="J258" s="2">
        <v>-0.22819999999999999</v>
      </c>
      <c r="K258" s="2">
        <v>-0.4294</v>
      </c>
      <c r="L258" s="2">
        <v>8.0000000000000004E-4</v>
      </c>
      <c r="M258" s="2">
        <v>0.73180000000000001</v>
      </c>
      <c r="N258" s="2">
        <v>0.35630000000000001</v>
      </c>
      <c r="O258" s="2">
        <v>73</v>
      </c>
      <c r="P258" s="2">
        <v>2.6</v>
      </c>
      <c r="Q258" s="2"/>
    </row>
    <row r="259" spans="2:17" x14ac:dyDescent="0.3">
      <c r="B259" s="2">
        <v>-1</v>
      </c>
      <c r="C259" s="2" t="s">
        <v>29</v>
      </c>
      <c r="D259" s="2">
        <v>74</v>
      </c>
      <c r="E259" s="2" t="s">
        <v>14</v>
      </c>
      <c r="F259" s="2" t="s">
        <v>15</v>
      </c>
      <c r="G259" s="2"/>
      <c r="H259" s="2">
        <v>0</v>
      </c>
      <c r="I259" s="2">
        <v>-18.522600000000001</v>
      </c>
      <c r="J259" s="2">
        <v>-0.20419999999999999</v>
      </c>
      <c r="K259" s="2">
        <v>0.15010000000000001</v>
      </c>
      <c r="L259" s="2">
        <v>2.9999999999999997E-4</v>
      </c>
      <c r="M259" s="2">
        <v>0.11749999999999999</v>
      </c>
      <c r="N259" s="2">
        <v>-0.1908</v>
      </c>
      <c r="O259" s="2">
        <v>74</v>
      </c>
      <c r="P259" s="2">
        <v>0</v>
      </c>
      <c r="Q259" s="2"/>
    </row>
    <row r="260" spans="2:17" x14ac:dyDescent="0.3">
      <c r="B260" s="2">
        <v>-1</v>
      </c>
      <c r="C260" s="2" t="s">
        <v>29</v>
      </c>
      <c r="D260" s="2">
        <v>74</v>
      </c>
      <c r="E260" s="2" t="s">
        <v>14</v>
      </c>
      <c r="F260" s="2" t="s">
        <v>15</v>
      </c>
      <c r="G260" s="2"/>
      <c r="H260" s="2">
        <v>1.3</v>
      </c>
      <c r="I260" s="2">
        <v>-18.0351</v>
      </c>
      <c r="J260" s="2">
        <v>-0.20419999999999999</v>
      </c>
      <c r="K260" s="2">
        <v>0.15010000000000001</v>
      </c>
      <c r="L260" s="2">
        <v>2.9999999999999997E-4</v>
      </c>
      <c r="M260" s="2">
        <v>-7.7600000000000002E-2</v>
      </c>
      <c r="N260" s="2">
        <v>7.4700000000000003E-2</v>
      </c>
      <c r="O260" s="2">
        <v>74</v>
      </c>
      <c r="P260" s="2">
        <v>1.3</v>
      </c>
      <c r="Q260" s="2"/>
    </row>
    <row r="261" spans="2:17" x14ac:dyDescent="0.3">
      <c r="B261" s="2">
        <v>-1</v>
      </c>
      <c r="C261" s="2" t="s">
        <v>29</v>
      </c>
      <c r="D261" s="2">
        <v>74</v>
      </c>
      <c r="E261" s="2" t="s">
        <v>14</v>
      </c>
      <c r="F261" s="2" t="s">
        <v>15</v>
      </c>
      <c r="G261" s="2"/>
      <c r="H261" s="2">
        <v>2.6</v>
      </c>
      <c r="I261" s="2">
        <v>-17.547599999999999</v>
      </c>
      <c r="J261" s="2">
        <v>-0.20419999999999999</v>
      </c>
      <c r="K261" s="2">
        <v>0.15010000000000001</v>
      </c>
      <c r="L261" s="2">
        <v>2.9999999999999997E-4</v>
      </c>
      <c r="M261" s="2">
        <v>-0.27260000000000001</v>
      </c>
      <c r="N261" s="2">
        <v>0.3402</v>
      </c>
      <c r="O261" s="2">
        <v>74</v>
      </c>
      <c r="P261" s="2">
        <v>2.6</v>
      </c>
      <c r="Q261" s="2"/>
    </row>
    <row r="262" spans="2:17" x14ac:dyDescent="0.3">
      <c r="B262" s="2">
        <v>-1</v>
      </c>
      <c r="C262" s="2" t="s">
        <v>29</v>
      </c>
      <c r="D262" s="2">
        <v>74</v>
      </c>
      <c r="E262" s="2" t="s">
        <v>18</v>
      </c>
      <c r="F262" s="2" t="s">
        <v>15</v>
      </c>
      <c r="G262" s="2"/>
      <c r="H262" s="2">
        <v>0</v>
      </c>
      <c r="I262" s="2">
        <v>-14.786799999999999</v>
      </c>
      <c r="J262" s="2">
        <v>-0.1588</v>
      </c>
      <c r="K262" s="2">
        <v>9.8599999999999993E-2</v>
      </c>
      <c r="L262" s="2">
        <v>5.0000000000000001E-4</v>
      </c>
      <c r="M262" s="2">
        <v>7.4300000000000005E-2</v>
      </c>
      <c r="N262" s="2">
        <v>-0.14899999999999999</v>
      </c>
      <c r="O262" s="2">
        <v>74</v>
      </c>
      <c r="P262" s="2">
        <v>0</v>
      </c>
      <c r="Q262" s="2"/>
    </row>
    <row r="263" spans="2:17" x14ac:dyDescent="0.3">
      <c r="B263" s="2">
        <v>-1</v>
      </c>
      <c r="C263" s="2" t="s">
        <v>29</v>
      </c>
      <c r="D263" s="2">
        <v>74</v>
      </c>
      <c r="E263" s="2" t="s">
        <v>18</v>
      </c>
      <c r="F263" s="2" t="s">
        <v>15</v>
      </c>
      <c r="G263" s="2"/>
      <c r="H263" s="2">
        <v>1.3</v>
      </c>
      <c r="I263" s="2">
        <v>-14.786799999999999</v>
      </c>
      <c r="J263" s="2">
        <v>-0.1588</v>
      </c>
      <c r="K263" s="2">
        <v>9.8599999999999993E-2</v>
      </c>
      <c r="L263" s="2">
        <v>5.0000000000000001E-4</v>
      </c>
      <c r="M263" s="2">
        <v>-5.3800000000000001E-2</v>
      </c>
      <c r="N263" s="2">
        <v>5.74E-2</v>
      </c>
      <c r="O263" s="2">
        <v>74</v>
      </c>
      <c r="P263" s="2">
        <v>1.3</v>
      </c>
      <c r="Q263" s="2"/>
    </row>
    <row r="264" spans="2:17" x14ac:dyDescent="0.3">
      <c r="B264" s="2">
        <v>-1</v>
      </c>
      <c r="C264" s="2" t="s">
        <v>29</v>
      </c>
      <c r="D264" s="2">
        <v>74</v>
      </c>
      <c r="E264" s="2" t="s">
        <v>18</v>
      </c>
      <c r="F264" s="2" t="s">
        <v>15</v>
      </c>
      <c r="G264" s="2"/>
      <c r="H264" s="2">
        <v>2.6</v>
      </c>
      <c r="I264" s="2">
        <v>-14.786799999999999</v>
      </c>
      <c r="J264" s="2">
        <v>-0.1588</v>
      </c>
      <c r="K264" s="2">
        <v>9.8599999999999993E-2</v>
      </c>
      <c r="L264" s="2">
        <v>5.0000000000000001E-4</v>
      </c>
      <c r="M264" s="2">
        <v>-0.182</v>
      </c>
      <c r="N264" s="2">
        <v>0.26379999999999998</v>
      </c>
      <c r="O264" s="2">
        <v>74</v>
      </c>
      <c r="P264" s="2">
        <v>2.6</v>
      </c>
      <c r="Q264" s="2"/>
    </row>
    <row r="265" spans="2:17" x14ac:dyDescent="0.3">
      <c r="B265" s="2">
        <v>-1</v>
      </c>
      <c r="C265" s="2" t="s">
        <v>29</v>
      </c>
      <c r="D265" s="2">
        <v>74</v>
      </c>
      <c r="E265" s="2" t="s">
        <v>19</v>
      </c>
      <c r="F265" s="2" t="s">
        <v>20</v>
      </c>
      <c r="G265" s="2" t="s">
        <v>21</v>
      </c>
      <c r="H265" s="2">
        <v>0</v>
      </c>
      <c r="I265" s="2">
        <v>7.3899999999999993E-2</v>
      </c>
      <c r="J265" s="2">
        <v>0.3654</v>
      </c>
      <c r="K265" s="2">
        <v>3.0800000000000001E-2</v>
      </c>
      <c r="L265" s="2">
        <v>3.3E-3</v>
      </c>
      <c r="M265" s="2">
        <v>3.56E-2</v>
      </c>
      <c r="N265" s="2">
        <v>0.54700000000000004</v>
      </c>
      <c r="O265" s="2">
        <v>74</v>
      </c>
      <c r="P265" s="2">
        <v>0</v>
      </c>
      <c r="Q265" s="2"/>
    </row>
    <row r="266" spans="2:17" x14ac:dyDescent="0.3">
      <c r="B266" s="2">
        <v>-1</v>
      </c>
      <c r="C266" s="2" t="s">
        <v>29</v>
      </c>
      <c r="D266" s="2">
        <v>74</v>
      </c>
      <c r="E266" s="2" t="s">
        <v>19</v>
      </c>
      <c r="F266" s="2" t="s">
        <v>20</v>
      </c>
      <c r="G266" s="2" t="s">
        <v>21</v>
      </c>
      <c r="H266" s="2">
        <v>1.3</v>
      </c>
      <c r="I266" s="2">
        <v>7.3899999999999993E-2</v>
      </c>
      <c r="J266" s="2">
        <v>0.3654</v>
      </c>
      <c r="K266" s="2">
        <v>3.0800000000000001E-2</v>
      </c>
      <c r="L266" s="2">
        <v>3.3E-3</v>
      </c>
      <c r="M266" s="2">
        <v>7.7999999999999996E-3</v>
      </c>
      <c r="N266" s="2">
        <v>7.2300000000000003E-2</v>
      </c>
      <c r="O266" s="2">
        <v>74</v>
      </c>
      <c r="P266" s="2">
        <v>1.3</v>
      </c>
      <c r="Q266" s="2"/>
    </row>
    <row r="267" spans="2:17" x14ac:dyDescent="0.3">
      <c r="B267" s="2">
        <v>-1</v>
      </c>
      <c r="C267" s="2" t="s">
        <v>29</v>
      </c>
      <c r="D267" s="2">
        <v>74</v>
      </c>
      <c r="E267" s="2" t="s">
        <v>19</v>
      </c>
      <c r="F267" s="2" t="s">
        <v>20</v>
      </c>
      <c r="G267" s="2" t="s">
        <v>21</v>
      </c>
      <c r="H267" s="2">
        <v>2.6</v>
      </c>
      <c r="I267" s="2">
        <v>7.3899999999999993E-2</v>
      </c>
      <c r="J267" s="2">
        <v>0.3654</v>
      </c>
      <c r="K267" s="2">
        <v>3.0800000000000001E-2</v>
      </c>
      <c r="L267" s="2">
        <v>3.3E-3</v>
      </c>
      <c r="M267" s="2">
        <v>4.5199999999999997E-2</v>
      </c>
      <c r="N267" s="2">
        <v>0.40310000000000001</v>
      </c>
      <c r="O267" s="2">
        <v>74</v>
      </c>
      <c r="P267" s="2">
        <v>2.6</v>
      </c>
      <c r="Q267" s="2"/>
    </row>
    <row r="268" spans="2:17" x14ac:dyDescent="0.3">
      <c r="B268" s="2">
        <v>-1</v>
      </c>
      <c r="C268" s="2" t="s">
        <v>29</v>
      </c>
      <c r="D268" s="2">
        <v>74</v>
      </c>
      <c r="E268" s="2" t="s">
        <v>22</v>
      </c>
      <c r="F268" s="2" t="s">
        <v>20</v>
      </c>
      <c r="G268" s="2" t="s">
        <v>21</v>
      </c>
      <c r="H268" s="2">
        <v>0</v>
      </c>
      <c r="I268" s="2">
        <v>0.47270000000000001</v>
      </c>
      <c r="J268" s="2">
        <v>4.3299999999999998E-2</v>
      </c>
      <c r="K268" s="2">
        <v>0.25619999999999998</v>
      </c>
      <c r="L268" s="2">
        <v>6.9999999999999999E-4</v>
      </c>
      <c r="M268" s="2">
        <v>0.28770000000000001</v>
      </c>
      <c r="N268" s="2">
        <v>5.9900000000000002E-2</v>
      </c>
      <c r="O268" s="2">
        <v>74</v>
      </c>
      <c r="P268" s="2">
        <v>0</v>
      </c>
      <c r="Q268" s="2"/>
    </row>
    <row r="269" spans="2:17" x14ac:dyDescent="0.3">
      <c r="B269" s="2">
        <v>-1</v>
      </c>
      <c r="C269" s="2" t="s">
        <v>29</v>
      </c>
      <c r="D269" s="2">
        <v>74</v>
      </c>
      <c r="E269" s="2" t="s">
        <v>22</v>
      </c>
      <c r="F269" s="2" t="s">
        <v>20</v>
      </c>
      <c r="G269" s="2" t="s">
        <v>21</v>
      </c>
      <c r="H269" s="2">
        <v>1.3</v>
      </c>
      <c r="I269" s="2">
        <v>0.47270000000000001</v>
      </c>
      <c r="J269" s="2">
        <v>4.3299999999999998E-2</v>
      </c>
      <c r="K269" s="2">
        <v>0.25619999999999998</v>
      </c>
      <c r="L269" s="2">
        <v>6.9999999999999999E-4</v>
      </c>
      <c r="M269" s="2">
        <v>4.5999999999999999E-2</v>
      </c>
      <c r="N269" s="2">
        <v>6.7000000000000002E-3</v>
      </c>
      <c r="O269" s="2">
        <v>74</v>
      </c>
      <c r="P269" s="2">
        <v>1.3</v>
      </c>
      <c r="Q269" s="2"/>
    </row>
    <row r="270" spans="2:17" x14ac:dyDescent="0.3">
      <c r="B270" s="2">
        <v>-1</v>
      </c>
      <c r="C270" s="2" t="s">
        <v>29</v>
      </c>
      <c r="D270" s="2">
        <v>74</v>
      </c>
      <c r="E270" s="2" t="s">
        <v>22</v>
      </c>
      <c r="F270" s="2" t="s">
        <v>20</v>
      </c>
      <c r="G270" s="2" t="s">
        <v>21</v>
      </c>
      <c r="H270" s="2">
        <v>2.6</v>
      </c>
      <c r="I270" s="2">
        <v>0.47270000000000001</v>
      </c>
      <c r="J270" s="2">
        <v>4.3299999999999998E-2</v>
      </c>
      <c r="K270" s="2">
        <v>0.25619999999999998</v>
      </c>
      <c r="L270" s="2">
        <v>6.9999999999999999E-4</v>
      </c>
      <c r="M270" s="2">
        <v>0.37859999999999999</v>
      </c>
      <c r="N270" s="2">
        <v>5.3600000000000002E-2</v>
      </c>
      <c r="O270" s="2">
        <v>74</v>
      </c>
      <c r="P270" s="2">
        <v>2.6</v>
      </c>
      <c r="Q270" s="2"/>
    </row>
    <row r="271" spans="2:17" x14ac:dyDescent="0.3">
      <c r="B271" s="2">
        <v>-1</v>
      </c>
      <c r="C271" s="2" t="s">
        <v>29</v>
      </c>
      <c r="D271" s="2">
        <v>74</v>
      </c>
      <c r="E271" s="2" t="s">
        <v>23</v>
      </c>
      <c r="F271" s="2" t="s">
        <v>24</v>
      </c>
      <c r="G271" s="2"/>
      <c r="H271" s="2">
        <v>0</v>
      </c>
      <c r="I271" s="2">
        <v>-25.9316</v>
      </c>
      <c r="J271" s="2">
        <v>-0.28589999999999999</v>
      </c>
      <c r="K271" s="2">
        <v>0.21010000000000001</v>
      </c>
      <c r="L271" s="2">
        <v>4.0000000000000002E-4</v>
      </c>
      <c r="M271" s="2">
        <v>0.16450000000000001</v>
      </c>
      <c r="N271" s="2">
        <v>-0.2671</v>
      </c>
      <c r="O271" s="2">
        <v>74</v>
      </c>
      <c r="P271" s="2">
        <v>0</v>
      </c>
      <c r="Q271" s="2"/>
    </row>
    <row r="272" spans="2:17" x14ac:dyDescent="0.3">
      <c r="B272" s="2">
        <v>-1</v>
      </c>
      <c r="C272" s="2" t="s">
        <v>29</v>
      </c>
      <c r="D272" s="2">
        <v>74</v>
      </c>
      <c r="E272" s="2" t="s">
        <v>23</v>
      </c>
      <c r="F272" s="2" t="s">
        <v>24</v>
      </c>
      <c r="G272" s="2"/>
      <c r="H272" s="2">
        <v>1.3</v>
      </c>
      <c r="I272" s="2">
        <v>-25.249099999999999</v>
      </c>
      <c r="J272" s="2">
        <v>-0.28589999999999999</v>
      </c>
      <c r="K272" s="2">
        <v>0.21010000000000001</v>
      </c>
      <c r="L272" s="2">
        <v>4.0000000000000002E-4</v>
      </c>
      <c r="M272" s="2">
        <v>-0.1086</v>
      </c>
      <c r="N272" s="2">
        <v>0.1046</v>
      </c>
      <c r="O272" s="2">
        <v>74</v>
      </c>
      <c r="P272" s="2">
        <v>1.3</v>
      </c>
      <c r="Q272" s="2"/>
    </row>
    <row r="273" spans="2:17" x14ac:dyDescent="0.3">
      <c r="B273" s="2">
        <v>-1</v>
      </c>
      <c r="C273" s="2" t="s">
        <v>29</v>
      </c>
      <c r="D273" s="2">
        <v>74</v>
      </c>
      <c r="E273" s="2" t="s">
        <v>23</v>
      </c>
      <c r="F273" s="2" t="s">
        <v>24</v>
      </c>
      <c r="G273" s="2"/>
      <c r="H273" s="2">
        <v>2.6</v>
      </c>
      <c r="I273" s="2">
        <v>-24.566600000000001</v>
      </c>
      <c r="J273" s="2">
        <v>-0.28589999999999999</v>
      </c>
      <c r="K273" s="2">
        <v>0.21010000000000001</v>
      </c>
      <c r="L273" s="2">
        <v>4.0000000000000002E-4</v>
      </c>
      <c r="M273" s="2">
        <v>-0.38169999999999998</v>
      </c>
      <c r="N273" s="2">
        <v>0.47620000000000001</v>
      </c>
      <c r="O273" s="2">
        <v>74</v>
      </c>
      <c r="P273" s="2">
        <v>2.6</v>
      </c>
      <c r="Q273" s="2"/>
    </row>
    <row r="274" spans="2:17" x14ac:dyDescent="0.3">
      <c r="B274" s="2">
        <v>-1</v>
      </c>
      <c r="C274" s="2" t="s">
        <v>29</v>
      </c>
      <c r="D274" s="2">
        <v>74</v>
      </c>
      <c r="E274" s="2" t="s">
        <v>25</v>
      </c>
      <c r="F274" s="2" t="s">
        <v>24</v>
      </c>
      <c r="G274" s="2"/>
      <c r="H274" s="2">
        <v>0</v>
      </c>
      <c r="I274" s="2">
        <v>-45.886099999999999</v>
      </c>
      <c r="J274" s="2">
        <v>-0.49909999999999999</v>
      </c>
      <c r="K274" s="2">
        <v>0.33779999999999999</v>
      </c>
      <c r="L274" s="2">
        <v>1.1000000000000001E-3</v>
      </c>
      <c r="M274" s="2">
        <v>0.25990000000000002</v>
      </c>
      <c r="N274" s="2">
        <v>-0.46729999999999999</v>
      </c>
      <c r="O274" s="2">
        <v>74</v>
      </c>
      <c r="P274" s="2">
        <v>0</v>
      </c>
      <c r="Q274" s="2"/>
    </row>
    <row r="275" spans="2:17" x14ac:dyDescent="0.3">
      <c r="B275" s="2">
        <v>-1</v>
      </c>
      <c r="C275" s="2" t="s">
        <v>29</v>
      </c>
      <c r="D275" s="2">
        <v>74</v>
      </c>
      <c r="E275" s="2" t="s">
        <v>25</v>
      </c>
      <c r="F275" s="2" t="s">
        <v>24</v>
      </c>
      <c r="G275" s="2"/>
      <c r="H275" s="2">
        <v>1.3</v>
      </c>
      <c r="I275" s="2">
        <v>-45.301099999999998</v>
      </c>
      <c r="J275" s="2">
        <v>-0.49909999999999999</v>
      </c>
      <c r="K275" s="2">
        <v>0.33779999999999999</v>
      </c>
      <c r="L275" s="2">
        <v>1.1000000000000001E-3</v>
      </c>
      <c r="M275" s="2">
        <v>-0.1792</v>
      </c>
      <c r="N275" s="2">
        <v>0.18149999999999999</v>
      </c>
      <c r="O275" s="2">
        <v>74</v>
      </c>
      <c r="P275" s="2">
        <v>1.3</v>
      </c>
      <c r="Q275" s="2"/>
    </row>
    <row r="276" spans="2:17" x14ac:dyDescent="0.3">
      <c r="B276" s="2">
        <v>-1</v>
      </c>
      <c r="C276" s="2" t="s">
        <v>29</v>
      </c>
      <c r="D276" s="2">
        <v>74</v>
      </c>
      <c r="E276" s="2" t="s">
        <v>25</v>
      </c>
      <c r="F276" s="2" t="s">
        <v>24</v>
      </c>
      <c r="G276" s="2"/>
      <c r="H276" s="2">
        <v>2.6</v>
      </c>
      <c r="I276" s="2">
        <v>-44.716099999999997</v>
      </c>
      <c r="J276" s="2">
        <v>-0.49909999999999999</v>
      </c>
      <c r="K276" s="2">
        <v>0.33779999999999999</v>
      </c>
      <c r="L276" s="2">
        <v>1.1000000000000001E-3</v>
      </c>
      <c r="M276" s="2">
        <v>-0.61839999999999995</v>
      </c>
      <c r="N276" s="2">
        <v>0.83030000000000004</v>
      </c>
      <c r="O276" s="2">
        <v>74</v>
      </c>
      <c r="P276" s="2">
        <v>2.6</v>
      </c>
      <c r="Q276" s="2"/>
    </row>
    <row r="277" spans="2:17" x14ac:dyDescent="0.3">
      <c r="B277" s="2">
        <v>-1</v>
      </c>
      <c r="C277" s="2" t="s">
        <v>29</v>
      </c>
      <c r="D277" s="2">
        <v>74</v>
      </c>
      <c r="E277" s="2" t="s">
        <v>26</v>
      </c>
      <c r="F277" s="2" t="s">
        <v>24</v>
      </c>
      <c r="G277" s="2" t="s">
        <v>21</v>
      </c>
      <c r="H277" s="2">
        <v>0</v>
      </c>
      <c r="I277" s="2">
        <v>-16.5669</v>
      </c>
      <c r="J277" s="2">
        <v>0.32769999999999999</v>
      </c>
      <c r="K277" s="2">
        <v>0.1782</v>
      </c>
      <c r="L277" s="2">
        <v>4.8999999999999998E-3</v>
      </c>
      <c r="M277" s="2">
        <v>0.15559999999999999</v>
      </c>
      <c r="N277" s="2">
        <v>0.59409999999999996</v>
      </c>
      <c r="O277" s="2">
        <v>74</v>
      </c>
      <c r="P277" s="2">
        <v>0</v>
      </c>
      <c r="Q277" s="2"/>
    </row>
    <row r="278" spans="2:17" x14ac:dyDescent="0.3">
      <c r="B278" s="2">
        <v>-1</v>
      </c>
      <c r="C278" s="2" t="s">
        <v>29</v>
      </c>
      <c r="D278" s="2">
        <v>74</v>
      </c>
      <c r="E278" s="2" t="s">
        <v>26</v>
      </c>
      <c r="F278" s="2" t="s">
        <v>24</v>
      </c>
      <c r="G278" s="2" t="s">
        <v>21</v>
      </c>
      <c r="H278" s="2">
        <v>1.3</v>
      </c>
      <c r="I278" s="2">
        <v>-16.1282</v>
      </c>
      <c r="J278" s="2">
        <v>0.32769999999999999</v>
      </c>
      <c r="K278" s="2">
        <v>0.1782</v>
      </c>
      <c r="L278" s="2">
        <v>4.8999999999999998E-3</v>
      </c>
      <c r="M278" s="2">
        <v>-5.8900000000000001E-2</v>
      </c>
      <c r="N278" s="2">
        <v>0.16850000000000001</v>
      </c>
      <c r="O278" s="2">
        <v>74</v>
      </c>
      <c r="P278" s="2">
        <v>1.3</v>
      </c>
      <c r="Q278" s="2"/>
    </row>
    <row r="279" spans="2:17" x14ac:dyDescent="0.3">
      <c r="B279" s="2">
        <v>-1</v>
      </c>
      <c r="C279" s="2" t="s">
        <v>29</v>
      </c>
      <c r="D279" s="2">
        <v>74</v>
      </c>
      <c r="E279" s="2" t="s">
        <v>26</v>
      </c>
      <c r="F279" s="2" t="s">
        <v>24</v>
      </c>
      <c r="G279" s="2" t="s">
        <v>21</v>
      </c>
      <c r="H279" s="2">
        <v>2.6</v>
      </c>
      <c r="I279" s="2">
        <v>-15.689399999999999</v>
      </c>
      <c r="J279" s="2">
        <v>0.32769999999999999</v>
      </c>
      <c r="K279" s="2">
        <v>0.1782</v>
      </c>
      <c r="L279" s="2">
        <v>4.8999999999999998E-3</v>
      </c>
      <c r="M279" s="2">
        <v>-0.18210000000000001</v>
      </c>
      <c r="N279" s="2">
        <v>0.87050000000000005</v>
      </c>
      <c r="O279" s="2">
        <v>74</v>
      </c>
      <c r="P279" s="2">
        <v>2.6</v>
      </c>
      <c r="Q279" s="2"/>
    </row>
    <row r="280" spans="2:17" x14ac:dyDescent="0.3">
      <c r="B280" s="2">
        <v>-1</v>
      </c>
      <c r="C280" s="2" t="s">
        <v>29</v>
      </c>
      <c r="D280" s="2">
        <v>74</v>
      </c>
      <c r="E280" s="2" t="s">
        <v>26</v>
      </c>
      <c r="F280" s="2" t="s">
        <v>24</v>
      </c>
      <c r="G280" s="2" t="s">
        <v>27</v>
      </c>
      <c r="H280" s="2">
        <v>0</v>
      </c>
      <c r="I280" s="2">
        <v>-16.773800000000001</v>
      </c>
      <c r="J280" s="2">
        <v>-0.69530000000000003</v>
      </c>
      <c r="K280" s="2">
        <v>9.1899999999999996E-2</v>
      </c>
      <c r="L280" s="2">
        <v>-4.4000000000000003E-3</v>
      </c>
      <c r="M280" s="2">
        <v>5.5899999999999998E-2</v>
      </c>
      <c r="N280" s="2">
        <v>-0.9375</v>
      </c>
      <c r="O280" s="2">
        <v>74</v>
      </c>
      <c r="P280" s="2">
        <v>0</v>
      </c>
      <c r="Q280" s="2"/>
    </row>
    <row r="281" spans="2:17" x14ac:dyDescent="0.3">
      <c r="B281" s="2">
        <v>-1</v>
      </c>
      <c r="C281" s="2" t="s">
        <v>29</v>
      </c>
      <c r="D281" s="2">
        <v>74</v>
      </c>
      <c r="E281" s="2" t="s">
        <v>26</v>
      </c>
      <c r="F281" s="2" t="s">
        <v>24</v>
      </c>
      <c r="G281" s="2" t="s">
        <v>27</v>
      </c>
      <c r="H281" s="2">
        <v>1.3</v>
      </c>
      <c r="I281" s="2">
        <v>-16.335000000000001</v>
      </c>
      <c r="J281" s="2">
        <v>-0.69530000000000003</v>
      </c>
      <c r="K281" s="2">
        <v>9.1899999999999996E-2</v>
      </c>
      <c r="L281" s="2">
        <v>-4.4000000000000003E-3</v>
      </c>
      <c r="M281" s="2">
        <v>-8.0799999999999997E-2</v>
      </c>
      <c r="N281" s="2">
        <v>-3.4099999999999998E-2</v>
      </c>
      <c r="O281" s="2">
        <v>74</v>
      </c>
      <c r="P281" s="2">
        <v>1.3</v>
      </c>
      <c r="Q281" s="2"/>
    </row>
    <row r="282" spans="2:17" x14ac:dyDescent="0.3">
      <c r="B282" s="2">
        <v>-1</v>
      </c>
      <c r="C282" s="2" t="s">
        <v>29</v>
      </c>
      <c r="D282" s="2">
        <v>74</v>
      </c>
      <c r="E282" s="2" t="s">
        <v>26</v>
      </c>
      <c r="F282" s="2" t="s">
        <v>24</v>
      </c>
      <c r="G282" s="2" t="s">
        <v>27</v>
      </c>
      <c r="H282" s="2">
        <v>2.6</v>
      </c>
      <c r="I282" s="2">
        <v>-15.8963</v>
      </c>
      <c r="J282" s="2">
        <v>-0.69530000000000003</v>
      </c>
      <c r="K282" s="2">
        <v>9.1899999999999996E-2</v>
      </c>
      <c r="L282" s="2">
        <v>-4.4000000000000003E-3</v>
      </c>
      <c r="M282" s="2">
        <v>-0.30869999999999997</v>
      </c>
      <c r="N282" s="2">
        <v>-0.25819999999999999</v>
      </c>
      <c r="O282" s="2">
        <v>74</v>
      </c>
      <c r="P282" s="2">
        <v>2.6</v>
      </c>
      <c r="Q282" s="2"/>
    </row>
    <row r="283" spans="2:17" x14ac:dyDescent="0.3">
      <c r="B283" s="2">
        <v>-1</v>
      </c>
      <c r="C283" s="2" t="s">
        <v>29</v>
      </c>
      <c r="D283" s="2">
        <v>74</v>
      </c>
      <c r="E283" s="2" t="s">
        <v>28</v>
      </c>
      <c r="F283" s="2" t="s">
        <v>24</v>
      </c>
      <c r="G283" s="2" t="s">
        <v>21</v>
      </c>
      <c r="H283" s="2">
        <v>0</v>
      </c>
      <c r="I283" s="2">
        <v>-36.910499999999999</v>
      </c>
      <c r="J283" s="2">
        <v>0.1077</v>
      </c>
      <c r="K283" s="2">
        <v>0.32179999999999997</v>
      </c>
      <c r="L283" s="2">
        <v>5.4000000000000003E-3</v>
      </c>
      <c r="M283" s="2">
        <v>0.2651</v>
      </c>
      <c r="N283" s="2">
        <v>0.38790000000000002</v>
      </c>
      <c r="O283" s="2">
        <v>74</v>
      </c>
      <c r="P283" s="2">
        <v>0</v>
      </c>
      <c r="Q283" s="2"/>
    </row>
    <row r="284" spans="2:17" x14ac:dyDescent="0.3">
      <c r="B284" s="2">
        <v>-1</v>
      </c>
      <c r="C284" s="2" t="s">
        <v>29</v>
      </c>
      <c r="D284" s="2">
        <v>74</v>
      </c>
      <c r="E284" s="2" t="s">
        <v>28</v>
      </c>
      <c r="F284" s="2" t="s">
        <v>24</v>
      </c>
      <c r="G284" s="2" t="s">
        <v>21</v>
      </c>
      <c r="H284" s="2">
        <v>1.3</v>
      </c>
      <c r="I284" s="2">
        <v>-36.325499999999998</v>
      </c>
      <c r="J284" s="2">
        <v>0.1077</v>
      </c>
      <c r="K284" s="2">
        <v>0.32179999999999997</v>
      </c>
      <c r="L284" s="2">
        <v>5.4000000000000003E-3</v>
      </c>
      <c r="M284" s="2">
        <v>-0.13600000000000001</v>
      </c>
      <c r="N284" s="2">
        <v>0.24829999999999999</v>
      </c>
      <c r="O284" s="2">
        <v>74</v>
      </c>
      <c r="P284" s="2">
        <v>1.3</v>
      </c>
      <c r="Q284" s="2"/>
    </row>
    <row r="285" spans="2:17" x14ac:dyDescent="0.3">
      <c r="B285" s="2">
        <v>-1</v>
      </c>
      <c r="C285" s="2" t="s">
        <v>29</v>
      </c>
      <c r="D285" s="2">
        <v>74</v>
      </c>
      <c r="E285" s="2" t="s">
        <v>28</v>
      </c>
      <c r="F285" s="2" t="s">
        <v>24</v>
      </c>
      <c r="G285" s="2" t="s">
        <v>21</v>
      </c>
      <c r="H285" s="2">
        <v>2.6</v>
      </c>
      <c r="I285" s="2">
        <v>-35.740499999999997</v>
      </c>
      <c r="J285" s="2">
        <v>0.1077</v>
      </c>
      <c r="K285" s="2">
        <v>0.32179999999999997</v>
      </c>
      <c r="L285" s="2">
        <v>5.4000000000000003E-3</v>
      </c>
      <c r="M285" s="2">
        <v>-0.44590000000000002</v>
      </c>
      <c r="N285" s="2">
        <v>1.2363</v>
      </c>
      <c r="O285" s="2">
        <v>74</v>
      </c>
      <c r="P285" s="2">
        <v>2.6</v>
      </c>
      <c r="Q285" s="2"/>
    </row>
    <row r="286" spans="2:17" x14ac:dyDescent="0.3">
      <c r="B286" s="2">
        <v>-1</v>
      </c>
      <c r="C286" s="2" t="s">
        <v>29</v>
      </c>
      <c r="D286" s="2">
        <v>74</v>
      </c>
      <c r="E286" s="2" t="s">
        <v>28</v>
      </c>
      <c r="F286" s="2" t="s">
        <v>24</v>
      </c>
      <c r="G286" s="2" t="s">
        <v>27</v>
      </c>
      <c r="H286" s="2">
        <v>0</v>
      </c>
      <c r="I286" s="2">
        <v>-37.117400000000004</v>
      </c>
      <c r="J286" s="2">
        <v>-0.9153</v>
      </c>
      <c r="K286" s="2">
        <v>0.23549999999999999</v>
      </c>
      <c r="L286" s="2">
        <v>-3.8E-3</v>
      </c>
      <c r="M286" s="2">
        <v>0.16550000000000001</v>
      </c>
      <c r="N286" s="2">
        <v>-1.1436999999999999</v>
      </c>
      <c r="O286" s="2">
        <v>74</v>
      </c>
      <c r="P286" s="2">
        <v>0</v>
      </c>
      <c r="Q286" s="2"/>
    </row>
    <row r="287" spans="2:17" x14ac:dyDescent="0.3">
      <c r="B287" s="2">
        <v>-1</v>
      </c>
      <c r="C287" s="2" t="s">
        <v>29</v>
      </c>
      <c r="D287" s="2">
        <v>74</v>
      </c>
      <c r="E287" s="2" t="s">
        <v>28</v>
      </c>
      <c r="F287" s="2" t="s">
        <v>24</v>
      </c>
      <c r="G287" s="2" t="s">
        <v>27</v>
      </c>
      <c r="H287" s="2">
        <v>1.3</v>
      </c>
      <c r="I287" s="2">
        <v>-36.532400000000003</v>
      </c>
      <c r="J287" s="2">
        <v>-0.9153</v>
      </c>
      <c r="K287" s="2">
        <v>0.23549999999999999</v>
      </c>
      <c r="L287" s="2">
        <v>-3.8E-3</v>
      </c>
      <c r="M287" s="2">
        <v>-0.15790000000000001</v>
      </c>
      <c r="N287" s="2">
        <v>4.58E-2</v>
      </c>
      <c r="O287" s="2">
        <v>74</v>
      </c>
      <c r="P287" s="2">
        <v>1.3</v>
      </c>
      <c r="Q287" s="2"/>
    </row>
    <row r="288" spans="2:17" x14ac:dyDescent="0.3">
      <c r="B288" s="2">
        <v>-1</v>
      </c>
      <c r="C288" s="2" t="s">
        <v>29</v>
      </c>
      <c r="D288" s="2">
        <v>74</v>
      </c>
      <c r="E288" s="2" t="s">
        <v>28</v>
      </c>
      <c r="F288" s="2" t="s">
        <v>24</v>
      </c>
      <c r="G288" s="2" t="s">
        <v>27</v>
      </c>
      <c r="H288" s="2">
        <v>2.6</v>
      </c>
      <c r="I288" s="2">
        <v>-35.947400000000002</v>
      </c>
      <c r="J288" s="2">
        <v>-0.9153</v>
      </c>
      <c r="K288" s="2">
        <v>0.23549999999999999</v>
      </c>
      <c r="L288" s="2">
        <v>-3.8E-3</v>
      </c>
      <c r="M288" s="2">
        <v>-0.57250000000000001</v>
      </c>
      <c r="N288" s="2">
        <v>0.1077</v>
      </c>
      <c r="O288" s="2">
        <v>74</v>
      </c>
      <c r="P288" s="2">
        <v>2.6</v>
      </c>
      <c r="Q288" s="2"/>
    </row>
    <row r="289" spans="2:17" x14ac:dyDescent="0.3">
      <c r="B289" s="2">
        <v>-1</v>
      </c>
      <c r="C289" s="2" t="s">
        <v>29</v>
      </c>
      <c r="D289" s="2">
        <v>74</v>
      </c>
      <c r="E289" s="2" t="s">
        <v>29</v>
      </c>
      <c r="F289" s="2" t="s">
        <v>24</v>
      </c>
      <c r="G289" s="2" t="s">
        <v>21</v>
      </c>
      <c r="H289" s="2">
        <v>0</v>
      </c>
      <c r="I289" s="2">
        <v>-36.352200000000003</v>
      </c>
      <c r="J289" s="2">
        <v>-0.34310000000000002</v>
      </c>
      <c r="K289" s="2">
        <v>0.63739999999999997</v>
      </c>
      <c r="L289" s="2">
        <v>1.8E-3</v>
      </c>
      <c r="M289" s="2">
        <v>0.61809999999999998</v>
      </c>
      <c r="N289" s="2">
        <v>-0.29409999999999997</v>
      </c>
      <c r="O289" s="2">
        <v>74</v>
      </c>
      <c r="P289" s="2">
        <v>0</v>
      </c>
      <c r="Q289" s="2"/>
    </row>
    <row r="290" spans="2:17" x14ac:dyDescent="0.3">
      <c r="B290" s="2">
        <v>-1</v>
      </c>
      <c r="C290" s="2" t="s">
        <v>29</v>
      </c>
      <c r="D290" s="2">
        <v>74</v>
      </c>
      <c r="E290" s="2" t="s">
        <v>29</v>
      </c>
      <c r="F290" s="2" t="s">
        <v>24</v>
      </c>
      <c r="G290" s="2" t="s">
        <v>21</v>
      </c>
      <c r="H290" s="2">
        <v>1.3</v>
      </c>
      <c r="I290" s="2">
        <v>-35.767200000000003</v>
      </c>
      <c r="J290" s="2">
        <v>-0.34310000000000002</v>
      </c>
      <c r="K290" s="2">
        <v>0.63739999999999997</v>
      </c>
      <c r="L290" s="2">
        <v>1.8E-3</v>
      </c>
      <c r="M290" s="2">
        <v>-8.2500000000000004E-2</v>
      </c>
      <c r="N290" s="2">
        <v>0.15640000000000001</v>
      </c>
      <c r="O290" s="2">
        <v>74</v>
      </c>
      <c r="P290" s="2">
        <v>1.3</v>
      </c>
      <c r="Q290" s="2"/>
    </row>
    <row r="291" spans="2:17" x14ac:dyDescent="0.3">
      <c r="B291" s="2">
        <v>-1</v>
      </c>
      <c r="C291" s="2" t="s">
        <v>29</v>
      </c>
      <c r="D291" s="2">
        <v>74</v>
      </c>
      <c r="E291" s="2" t="s">
        <v>29</v>
      </c>
      <c r="F291" s="2" t="s">
        <v>24</v>
      </c>
      <c r="G291" s="2" t="s">
        <v>21</v>
      </c>
      <c r="H291" s="2">
        <v>2.6</v>
      </c>
      <c r="I291" s="2">
        <v>-35.182200000000002</v>
      </c>
      <c r="J291" s="2">
        <v>-0.34310000000000002</v>
      </c>
      <c r="K291" s="2">
        <v>0.63739999999999997</v>
      </c>
      <c r="L291" s="2">
        <v>1.8E-3</v>
      </c>
      <c r="M291" s="2">
        <v>2.0899999999999998E-2</v>
      </c>
      <c r="N291" s="2">
        <v>0.74709999999999999</v>
      </c>
      <c r="O291" s="2">
        <v>74</v>
      </c>
      <c r="P291" s="2">
        <v>2.6</v>
      </c>
      <c r="Q291" s="2"/>
    </row>
    <row r="292" spans="2:17" x14ac:dyDescent="0.3">
      <c r="B292" s="2">
        <v>-1</v>
      </c>
      <c r="C292" s="2" t="s">
        <v>29</v>
      </c>
      <c r="D292" s="2">
        <v>74</v>
      </c>
      <c r="E292" s="2" t="s">
        <v>29</v>
      </c>
      <c r="F292" s="2" t="s">
        <v>24</v>
      </c>
      <c r="G292" s="2" t="s">
        <v>27</v>
      </c>
      <c r="H292" s="2">
        <v>0</v>
      </c>
      <c r="I292" s="2">
        <v>-37.675699999999999</v>
      </c>
      <c r="J292" s="2">
        <v>-0.46450000000000002</v>
      </c>
      <c r="K292" s="2">
        <v>-8.0100000000000005E-2</v>
      </c>
      <c r="L292" s="2">
        <v>-2.0000000000000001E-4</v>
      </c>
      <c r="M292" s="2">
        <v>-0.1875</v>
      </c>
      <c r="N292" s="2">
        <v>-0.46179999999999999</v>
      </c>
      <c r="O292" s="2">
        <v>74</v>
      </c>
      <c r="P292" s="2">
        <v>0</v>
      </c>
      <c r="Q292" s="2"/>
    </row>
    <row r="293" spans="2:17" x14ac:dyDescent="0.3">
      <c r="B293" s="2">
        <v>-1</v>
      </c>
      <c r="C293" s="2" t="s">
        <v>29</v>
      </c>
      <c r="D293" s="2">
        <v>74</v>
      </c>
      <c r="E293" s="2" t="s">
        <v>29</v>
      </c>
      <c r="F293" s="2" t="s">
        <v>24</v>
      </c>
      <c r="G293" s="2" t="s">
        <v>27</v>
      </c>
      <c r="H293" s="2">
        <v>1.3</v>
      </c>
      <c r="I293" s="2">
        <v>-37.090699999999998</v>
      </c>
      <c r="J293" s="2">
        <v>-0.46450000000000002</v>
      </c>
      <c r="K293" s="2">
        <v>-8.0100000000000005E-2</v>
      </c>
      <c r="L293" s="2">
        <v>-2.0000000000000001E-4</v>
      </c>
      <c r="M293" s="2">
        <v>-0.21129999999999999</v>
      </c>
      <c r="N293" s="2">
        <v>0.1376</v>
      </c>
      <c r="O293" s="2">
        <v>74</v>
      </c>
      <c r="P293" s="2">
        <v>1.3</v>
      </c>
      <c r="Q293" s="2"/>
    </row>
    <row r="294" spans="2:17" x14ac:dyDescent="0.3">
      <c r="B294" s="2">
        <v>-1</v>
      </c>
      <c r="C294" s="2" t="s">
        <v>29</v>
      </c>
      <c r="D294" s="2">
        <v>74</v>
      </c>
      <c r="E294" s="2" t="s">
        <v>29</v>
      </c>
      <c r="F294" s="2" t="s">
        <v>24</v>
      </c>
      <c r="G294" s="2" t="s">
        <v>27</v>
      </c>
      <c r="H294" s="2">
        <v>2.6</v>
      </c>
      <c r="I294" s="2">
        <v>-36.505699999999997</v>
      </c>
      <c r="J294" s="2">
        <v>-0.46450000000000002</v>
      </c>
      <c r="K294" s="2">
        <v>-8.0100000000000005E-2</v>
      </c>
      <c r="L294" s="2">
        <v>-2.0000000000000001E-4</v>
      </c>
      <c r="M294" s="2">
        <v>-1.0392999999999999</v>
      </c>
      <c r="N294" s="2">
        <v>0.59689999999999999</v>
      </c>
      <c r="O294" s="2">
        <v>74</v>
      </c>
      <c r="P294" s="2">
        <v>2.6</v>
      </c>
      <c r="Q294" s="2"/>
    </row>
    <row r="295" spans="2:17" x14ac:dyDescent="0.3">
      <c r="B295" s="2">
        <v>-1</v>
      </c>
      <c r="C295" s="2" t="s">
        <v>29</v>
      </c>
      <c r="D295" s="2">
        <v>74</v>
      </c>
      <c r="E295" s="2" t="s">
        <v>30</v>
      </c>
      <c r="F295" s="2" t="s">
        <v>24</v>
      </c>
      <c r="G295" s="2" t="s">
        <v>21</v>
      </c>
      <c r="H295" s="2">
        <v>0</v>
      </c>
      <c r="I295" s="2">
        <v>-16.008600000000001</v>
      </c>
      <c r="J295" s="2">
        <v>0.32769999999999999</v>
      </c>
      <c r="K295" s="2">
        <v>0.63739999999999997</v>
      </c>
      <c r="L295" s="2">
        <v>5.4000000000000003E-3</v>
      </c>
      <c r="M295" s="2">
        <v>0.61809999999999998</v>
      </c>
      <c r="N295" s="2">
        <v>0.59409999999999996</v>
      </c>
      <c r="O295" s="2">
        <v>74</v>
      </c>
      <c r="P295" s="2">
        <v>0</v>
      </c>
      <c r="Q295" s="2"/>
    </row>
    <row r="296" spans="2:17" x14ac:dyDescent="0.3">
      <c r="B296" s="2">
        <v>-1</v>
      </c>
      <c r="C296" s="2" t="s">
        <v>29</v>
      </c>
      <c r="D296" s="2">
        <v>74</v>
      </c>
      <c r="E296" s="2" t="s">
        <v>30</v>
      </c>
      <c r="F296" s="2" t="s">
        <v>24</v>
      </c>
      <c r="G296" s="2" t="s">
        <v>21</v>
      </c>
      <c r="H296" s="2">
        <v>1.3</v>
      </c>
      <c r="I296" s="2">
        <v>-15.569900000000001</v>
      </c>
      <c r="J296" s="2">
        <v>0.32769999999999999</v>
      </c>
      <c r="K296" s="2">
        <v>0.63739999999999997</v>
      </c>
      <c r="L296" s="2">
        <v>5.4000000000000003E-3</v>
      </c>
      <c r="M296" s="2">
        <v>-5.4000000000000003E-3</v>
      </c>
      <c r="N296" s="2">
        <v>0.24829999999999999</v>
      </c>
      <c r="O296" s="2">
        <v>74</v>
      </c>
      <c r="P296" s="2">
        <v>1.3</v>
      </c>
      <c r="Q296" s="2"/>
    </row>
    <row r="297" spans="2:17" x14ac:dyDescent="0.3">
      <c r="B297" s="2">
        <v>-1</v>
      </c>
      <c r="C297" s="2" t="s">
        <v>29</v>
      </c>
      <c r="D297" s="2">
        <v>74</v>
      </c>
      <c r="E297" s="2" t="s">
        <v>30</v>
      </c>
      <c r="F297" s="2" t="s">
        <v>24</v>
      </c>
      <c r="G297" s="2" t="s">
        <v>21</v>
      </c>
      <c r="H297" s="2">
        <v>2.6</v>
      </c>
      <c r="I297" s="2">
        <v>-15.1311</v>
      </c>
      <c r="J297" s="2">
        <v>0.32769999999999999</v>
      </c>
      <c r="K297" s="2">
        <v>0.63739999999999997</v>
      </c>
      <c r="L297" s="2">
        <v>5.4000000000000003E-3</v>
      </c>
      <c r="M297" s="2">
        <v>0.28470000000000001</v>
      </c>
      <c r="N297" s="2">
        <v>1.2363</v>
      </c>
      <c r="O297" s="2">
        <v>74</v>
      </c>
      <c r="P297" s="2">
        <v>2.6</v>
      </c>
      <c r="Q297" s="2"/>
    </row>
    <row r="298" spans="2:17" x14ac:dyDescent="0.3">
      <c r="B298" s="2">
        <v>-1</v>
      </c>
      <c r="C298" s="2" t="s">
        <v>29</v>
      </c>
      <c r="D298" s="2">
        <v>74</v>
      </c>
      <c r="E298" s="2" t="s">
        <v>30</v>
      </c>
      <c r="F298" s="2" t="s">
        <v>24</v>
      </c>
      <c r="G298" s="2" t="s">
        <v>27</v>
      </c>
      <c r="H298" s="2">
        <v>0</v>
      </c>
      <c r="I298" s="2">
        <v>-45.886099999999999</v>
      </c>
      <c r="J298" s="2">
        <v>-0.9153</v>
      </c>
      <c r="K298" s="2">
        <v>-0.22370000000000001</v>
      </c>
      <c r="L298" s="2">
        <v>-4.4000000000000003E-3</v>
      </c>
      <c r="M298" s="2">
        <v>-0.29699999999999999</v>
      </c>
      <c r="N298" s="2">
        <v>-1.1436999999999999</v>
      </c>
      <c r="O298" s="2">
        <v>74</v>
      </c>
      <c r="P298" s="2">
        <v>0</v>
      </c>
      <c r="Q298" s="2"/>
    </row>
    <row r="299" spans="2:17" x14ac:dyDescent="0.3">
      <c r="B299" s="2">
        <v>-1</v>
      </c>
      <c r="C299" s="2" t="s">
        <v>29</v>
      </c>
      <c r="D299" s="2">
        <v>74</v>
      </c>
      <c r="E299" s="2" t="s">
        <v>30</v>
      </c>
      <c r="F299" s="2" t="s">
        <v>24</v>
      </c>
      <c r="G299" s="2" t="s">
        <v>27</v>
      </c>
      <c r="H299" s="2">
        <v>1.3</v>
      </c>
      <c r="I299" s="2">
        <v>-45.301099999999998</v>
      </c>
      <c r="J299" s="2">
        <v>-0.9153</v>
      </c>
      <c r="K299" s="2">
        <v>-0.22370000000000001</v>
      </c>
      <c r="L299" s="2">
        <v>-4.4000000000000003E-3</v>
      </c>
      <c r="M299" s="2">
        <v>-0.21129999999999999</v>
      </c>
      <c r="N299" s="2">
        <v>-3.4099999999999998E-2</v>
      </c>
      <c r="O299" s="2">
        <v>74</v>
      </c>
      <c r="P299" s="2">
        <v>1.3</v>
      </c>
      <c r="Q299" s="2"/>
    </row>
    <row r="300" spans="2:17" x14ac:dyDescent="0.3">
      <c r="B300" s="2">
        <v>-1</v>
      </c>
      <c r="C300" s="2" t="s">
        <v>29</v>
      </c>
      <c r="D300" s="2">
        <v>74</v>
      </c>
      <c r="E300" s="2" t="s">
        <v>30</v>
      </c>
      <c r="F300" s="2" t="s">
        <v>24</v>
      </c>
      <c r="G300" s="2" t="s">
        <v>27</v>
      </c>
      <c r="H300" s="2">
        <v>2.6</v>
      </c>
      <c r="I300" s="2">
        <v>-44.716099999999997</v>
      </c>
      <c r="J300" s="2">
        <v>-0.9153</v>
      </c>
      <c r="K300" s="2">
        <v>-0.22370000000000001</v>
      </c>
      <c r="L300" s="2">
        <v>-4.4000000000000003E-3</v>
      </c>
      <c r="M300" s="2">
        <v>-1.0392999999999999</v>
      </c>
      <c r="N300" s="2">
        <v>-0.25819999999999999</v>
      </c>
      <c r="O300" s="2">
        <v>74</v>
      </c>
      <c r="P300" s="2">
        <v>2.6</v>
      </c>
      <c r="Q300" s="2"/>
    </row>
    <row r="301" spans="2:17" x14ac:dyDescent="0.3">
      <c r="B301" s="2">
        <v>-1</v>
      </c>
      <c r="C301" s="2" t="s">
        <v>29</v>
      </c>
      <c r="D301" s="2">
        <v>74</v>
      </c>
      <c r="E301" s="2" t="s">
        <v>31</v>
      </c>
      <c r="F301" s="2" t="s">
        <v>24</v>
      </c>
      <c r="G301" s="2" t="s">
        <v>21</v>
      </c>
      <c r="H301" s="2">
        <v>0</v>
      </c>
      <c r="I301" s="2">
        <v>-16.008600000000001</v>
      </c>
      <c r="J301" s="2">
        <v>-0.1231</v>
      </c>
      <c r="K301" s="2">
        <v>0.49380000000000002</v>
      </c>
      <c r="L301" s="2">
        <v>1.2999999999999999E-3</v>
      </c>
      <c r="M301" s="2">
        <v>0.50849999999999995</v>
      </c>
      <c r="N301" s="2">
        <v>-8.7900000000000006E-2</v>
      </c>
      <c r="O301" s="2">
        <v>74</v>
      </c>
      <c r="P301" s="2">
        <v>0</v>
      </c>
      <c r="Q301" s="2"/>
    </row>
    <row r="302" spans="2:17" x14ac:dyDescent="0.3">
      <c r="B302" s="2">
        <v>-1</v>
      </c>
      <c r="C302" s="2" t="s">
        <v>29</v>
      </c>
      <c r="D302" s="2">
        <v>74</v>
      </c>
      <c r="E302" s="2" t="s">
        <v>31</v>
      </c>
      <c r="F302" s="2" t="s">
        <v>24</v>
      </c>
      <c r="G302" s="2" t="s">
        <v>21</v>
      </c>
      <c r="H302" s="2">
        <v>1.3</v>
      </c>
      <c r="I302" s="2">
        <v>-15.569900000000001</v>
      </c>
      <c r="J302" s="2">
        <v>-0.1231</v>
      </c>
      <c r="K302" s="2">
        <v>0.49380000000000002</v>
      </c>
      <c r="L302" s="2">
        <v>1.2999999999999999E-3</v>
      </c>
      <c r="M302" s="2">
        <v>-5.4000000000000003E-3</v>
      </c>
      <c r="N302" s="2">
        <v>7.6600000000000001E-2</v>
      </c>
      <c r="O302" s="2">
        <v>74</v>
      </c>
      <c r="P302" s="2">
        <v>1.3</v>
      </c>
      <c r="Q302" s="2"/>
    </row>
    <row r="303" spans="2:17" x14ac:dyDescent="0.3">
      <c r="B303" s="2">
        <v>-1</v>
      </c>
      <c r="C303" s="2" t="s">
        <v>29</v>
      </c>
      <c r="D303" s="2">
        <v>74</v>
      </c>
      <c r="E303" s="2" t="s">
        <v>31</v>
      </c>
      <c r="F303" s="2" t="s">
        <v>24</v>
      </c>
      <c r="G303" s="2" t="s">
        <v>21</v>
      </c>
      <c r="H303" s="2">
        <v>2.6</v>
      </c>
      <c r="I303" s="2">
        <v>-15.1311</v>
      </c>
      <c r="J303" s="2">
        <v>-0.1231</v>
      </c>
      <c r="K303" s="2">
        <v>0.49380000000000002</v>
      </c>
      <c r="L303" s="2">
        <v>1.2999999999999999E-3</v>
      </c>
      <c r="M303" s="2">
        <v>0.28470000000000001</v>
      </c>
      <c r="N303" s="2">
        <v>0.38129999999999997</v>
      </c>
      <c r="O303" s="2">
        <v>74</v>
      </c>
      <c r="P303" s="2">
        <v>2.6</v>
      </c>
      <c r="Q303" s="2"/>
    </row>
    <row r="304" spans="2:17" x14ac:dyDescent="0.3">
      <c r="B304" s="2">
        <v>-1</v>
      </c>
      <c r="C304" s="2" t="s">
        <v>29</v>
      </c>
      <c r="D304" s="2">
        <v>74</v>
      </c>
      <c r="E304" s="2" t="s">
        <v>31</v>
      </c>
      <c r="F304" s="2" t="s">
        <v>24</v>
      </c>
      <c r="G304" s="2" t="s">
        <v>27</v>
      </c>
      <c r="H304" s="2">
        <v>0</v>
      </c>
      <c r="I304" s="2">
        <v>-17.332100000000001</v>
      </c>
      <c r="J304" s="2">
        <v>-0.2445</v>
      </c>
      <c r="K304" s="2">
        <v>-0.22370000000000001</v>
      </c>
      <c r="L304" s="2">
        <v>-8.0000000000000004E-4</v>
      </c>
      <c r="M304" s="2">
        <v>-0.29699999999999999</v>
      </c>
      <c r="N304" s="2">
        <v>-0.25559999999999999</v>
      </c>
      <c r="O304" s="2">
        <v>74</v>
      </c>
      <c r="P304" s="2">
        <v>0</v>
      </c>
      <c r="Q304" s="2"/>
    </row>
    <row r="305" spans="2:17" x14ac:dyDescent="0.3">
      <c r="B305" s="2">
        <v>-1</v>
      </c>
      <c r="C305" s="2" t="s">
        <v>29</v>
      </c>
      <c r="D305" s="2">
        <v>74</v>
      </c>
      <c r="E305" s="2" t="s">
        <v>31</v>
      </c>
      <c r="F305" s="2" t="s">
        <v>24</v>
      </c>
      <c r="G305" s="2" t="s">
        <v>27</v>
      </c>
      <c r="H305" s="2">
        <v>1.3</v>
      </c>
      <c r="I305" s="2">
        <v>-16.8933</v>
      </c>
      <c r="J305" s="2">
        <v>-0.2445</v>
      </c>
      <c r="K305" s="2">
        <v>-0.22370000000000001</v>
      </c>
      <c r="L305" s="2">
        <v>-8.0000000000000004E-4</v>
      </c>
      <c r="M305" s="2">
        <v>-0.13420000000000001</v>
      </c>
      <c r="N305" s="2">
        <v>5.7799999999999997E-2</v>
      </c>
      <c r="O305" s="2">
        <v>74</v>
      </c>
      <c r="P305" s="2">
        <v>1.3</v>
      </c>
      <c r="Q305" s="2"/>
    </row>
    <row r="306" spans="2:17" x14ac:dyDescent="0.3">
      <c r="B306" s="2">
        <v>-1</v>
      </c>
      <c r="C306" s="2" t="s">
        <v>29</v>
      </c>
      <c r="D306" s="2">
        <v>74</v>
      </c>
      <c r="E306" s="2" t="s">
        <v>31</v>
      </c>
      <c r="F306" s="2" t="s">
        <v>24</v>
      </c>
      <c r="G306" s="2" t="s">
        <v>27</v>
      </c>
      <c r="H306" s="2">
        <v>2.6</v>
      </c>
      <c r="I306" s="2">
        <v>-16.454599999999999</v>
      </c>
      <c r="J306" s="2">
        <v>-0.2445</v>
      </c>
      <c r="K306" s="2">
        <v>-0.22370000000000001</v>
      </c>
      <c r="L306" s="2">
        <v>-8.0000000000000004E-4</v>
      </c>
      <c r="M306" s="2">
        <v>-0.77549999999999997</v>
      </c>
      <c r="N306" s="2">
        <v>0.23100000000000001</v>
      </c>
      <c r="O306" s="2">
        <v>74</v>
      </c>
      <c r="P306" s="2">
        <v>2.6</v>
      </c>
      <c r="Q306" s="2"/>
    </row>
    <row r="307" spans="2:17" x14ac:dyDescent="0.3">
      <c r="B307" s="2">
        <v>-1</v>
      </c>
      <c r="C307" s="2" t="s">
        <v>29</v>
      </c>
      <c r="D307" s="2">
        <v>74</v>
      </c>
      <c r="E307" s="2" t="s">
        <v>32</v>
      </c>
      <c r="F307" s="2" t="s">
        <v>24</v>
      </c>
      <c r="G307" s="2"/>
      <c r="H307" s="2">
        <v>0</v>
      </c>
      <c r="I307" s="2">
        <v>-33.309399999999997</v>
      </c>
      <c r="J307" s="2">
        <v>-0.36299999999999999</v>
      </c>
      <c r="K307" s="2">
        <v>0.24859999999999999</v>
      </c>
      <c r="L307" s="2">
        <v>8.0000000000000004E-4</v>
      </c>
      <c r="M307" s="2">
        <v>0.1918</v>
      </c>
      <c r="N307" s="2">
        <v>-0.33979999999999999</v>
      </c>
      <c r="O307" s="2">
        <v>74</v>
      </c>
      <c r="P307" s="2">
        <v>0</v>
      </c>
      <c r="Q307" s="2"/>
    </row>
    <row r="308" spans="2:17" x14ac:dyDescent="0.3">
      <c r="B308" s="2">
        <v>-1</v>
      </c>
      <c r="C308" s="2" t="s">
        <v>29</v>
      </c>
      <c r="D308" s="2">
        <v>74</v>
      </c>
      <c r="E308" s="2" t="s">
        <v>32</v>
      </c>
      <c r="F308" s="2" t="s">
        <v>24</v>
      </c>
      <c r="G308" s="2"/>
      <c r="H308" s="2">
        <v>1.3</v>
      </c>
      <c r="I308" s="2">
        <v>-32.821899999999999</v>
      </c>
      <c r="J308" s="2">
        <v>-0.36299999999999999</v>
      </c>
      <c r="K308" s="2">
        <v>0.24859999999999999</v>
      </c>
      <c r="L308" s="2">
        <v>8.0000000000000004E-4</v>
      </c>
      <c r="M308" s="2">
        <v>-0.13139999999999999</v>
      </c>
      <c r="N308" s="2">
        <v>0.1321</v>
      </c>
      <c r="O308" s="2">
        <v>74</v>
      </c>
      <c r="P308" s="2">
        <v>1.3</v>
      </c>
      <c r="Q308" s="2"/>
    </row>
    <row r="309" spans="2:17" x14ac:dyDescent="0.3">
      <c r="B309" s="2">
        <v>-1</v>
      </c>
      <c r="C309" s="2" t="s">
        <v>29</v>
      </c>
      <c r="D309" s="2">
        <v>74</v>
      </c>
      <c r="E309" s="2" t="s">
        <v>32</v>
      </c>
      <c r="F309" s="2" t="s">
        <v>24</v>
      </c>
      <c r="G309" s="2"/>
      <c r="H309" s="2">
        <v>2.6</v>
      </c>
      <c r="I309" s="2">
        <v>-32.334400000000002</v>
      </c>
      <c r="J309" s="2">
        <v>-0.36299999999999999</v>
      </c>
      <c r="K309" s="2">
        <v>0.24859999999999999</v>
      </c>
      <c r="L309" s="2">
        <v>8.0000000000000004E-4</v>
      </c>
      <c r="M309" s="2">
        <v>-0.4546</v>
      </c>
      <c r="N309" s="2">
        <v>0.60399999999999998</v>
      </c>
      <c r="O309" s="2">
        <v>74</v>
      </c>
      <c r="P309" s="2">
        <v>2.6</v>
      </c>
      <c r="Q309" s="2"/>
    </row>
    <row r="310" spans="2:17" x14ac:dyDescent="0.3">
      <c r="B310" s="2">
        <v>-1</v>
      </c>
      <c r="C310" s="2" t="s">
        <v>107</v>
      </c>
      <c r="D310" s="2">
        <v>78</v>
      </c>
      <c r="E310" s="2" t="s">
        <v>14</v>
      </c>
      <c r="F310" s="2" t="s">
        <v>15</v>
      </c>
      <c r="G310" s="2"/>
      <c r="H310" s="2">
        <v>0</v>
      </c>
      <c r="I310" s="2">
        <v>-25.654900000000001</v>
      </c>
      <c r="J310" s="2">
        <v>-2.1619999999999999</v>
      </c>
      <c r="K310" s="2">
        <v>2.86E-2</v>
      </c>
      <c r="L310" s="2">
        <v>2.9999999999999997E-4</v>
      </c>
      <c r="M310" s="2">
        <v>1.5599999999999999E-2</v>
      </c>
      <c r="N310" s="2">
        <v>-1.8032999999999999</v>
      </c>
      <c r="O310" s="2">
        <v>78</v>
      </c>
      <c r="P310" s="2">
        <v>0</v>
      </c>
      <c r="Q310" s="2"/>
    </row>
    <row r="311" spans="2:17" x14ac:dyDescent="0.3">
      <c r="B311" s="2">
        <v>-1</v>
      </c>
      <c r="C311" s="2" t="s">
        <v>107</v>
      </c>
      <c r="D311" s="2">
        <v>78</v>
      </c>
      <c r="E311" s="2" t="s">
        <v>14</v>
      </c>
      <c r="F311" s="2" t="s">
        <v>15</v>
      </c>
      <c r="G311" s="2"/>
      <c r="H311" s="2">
        <v>1.3</v>
      </c>
      <c r="I311" s="2">
        <v>-25.167400000000001</v>
      </c>
      <c r="J311" s="2">
        <v>-2.1619999999999999</v>
      </c>
      <c r="K311" s="2">
        <v>2.86E-2</v>
      </c>
      <c r="L311" s="2">
        <v>2.9999999999999997E-4</v>
      </c>
      <c r="M311" s="2">
        <v>-2.1600000000000001E-2</v>
      </c>
      <c r="N311" s="2">
        <v>1.0073000000000001</v>
      </c>
      <c r="O311" s="2">
        <v>78</v>
      </c>
      <c r="P311" s="2">
        <v>1.3</v>
      </c>
      <c r="Q311" s="2"/>
    </row>
    <row r="312" spans="2:17" x14ac:dyDescent="0.3">
      <c r="B312" s="2">
        <v>-1</v>
      </c>
      <c r="C312" s="2" t="s">
        <v>107</v>
      </c>
      <c r="D312" s="2">
        <v>78</v>
      </c>
      <c r="E312" s="2" t="s">
        <v>14</v>
      </c>
      <c r="F312" s="2" t="s">
        <v>15</v>
      </c>
      <c r="G312" s="2"/>
      <c r="H312" s="2">
        <v>2.6</v>
      </c>
      <c r="I312" s="2">
        <v>-24.6799</v>
      </c>
      <c r="J312" s="2">
        <v>-2.1619999999999999</v>
      </c>
      <c r="K312" s="2">
        <v>2.86E-2</v>
      </c>
      <c r="L312" s="2">
        <v>2.9999999999999997E-4</v>
      </c>
      <c r="M312" s="2">
        <v>-5.8799999999999998E-2</v>
      </c>
      <c r="N312" s="2">
        <v>3.8178999999999998</v>
      </c>
      <c r="O312" s="2">
        <v>78</v>
      </c>
      <c r="P312" s="2">
        <v>2.6</v>
      </c>
      <c r="Q312" s="2"/>
    </row>
    <row r="313" spans="2:17" x14ac:dyDescent="0.3">
      <c r="B313" s="2">
        <v>-1</v>
      </c>
      <c r="C313" s="2" t="s">
        <v>107</v>
      </c>
      <c r="D313" s="2">
        <v>78</v>
      </c>
      <c r="E313" s="2" t="s">
        <v>18</v>
      </c>
      <c r="F313" s="2" t="s">
        <v>15</v>
      </c>
      <c r="G313" s="2"/>
      <c r="H313" s="2">
        <v>0</v>
      </c>
      <c r="I313" s="2">
        <v>-21.554200000000002</v>
      </c>
      <c r="J313" s="2">
        <v>-2.0221</v>
      </c>
      <c r="K313" s="2">
        <v>2.8899999999999999E-2</v>
      </c>
      <c r="L313" s="2">
        <v>5.0000000000000001E-4</v>
      </c>
      <c r="M313" s="2">
        <v>1.7299999999999999E-2</v>
      </c>
      <c r="N313" s="2">
        <v>-1.6883999999999999</v>
      </c>
      <c r="O313" s="2">
        <v>78</v>
      </c>
      <c r="P313" s="2">
        <v>0</v>
      </c>
      <c r="Q313" s="2"/>
    </row>
    <row r="314" spans="2:17" x14ac:dyDescent="0.3">
      <c r="B314" s="2">
        <v>-1</v>
      </c>
      <c r="C314" s="2" t="s">
        <v>107</v>
      </c>
      <c r="D314" s="2">
        <v>78</v>
      </c>
      <c r="E314" s="2" t="s">
        <v>18</v>
      </c>
      <c r="F314" s="2" t="s">
        <v>15</v>
      </c>
      <c r="G314" s="2"/>
      <c r="H314" s="2">
        <v>1.3</v>
      </c>
      <c r="I314" s="2">
        <v>-21.554200000000002</v>
      </c>
      <c r="J314" s="2">
        <v>-2.0221</v>
      </c>
      <c r="K314" s="2">
        <v>2.8899999999999999E-2</v>
      </c>
      <c r="L314" s="2">
        <v>5.0000000000000001E-4</v>
      </c>
      <c r="M314" s="2">
        <v>-2.0199999999999999E-2</v>
      </c>
      <c r="N314" s="2">
        <v>0.94040000000000001</v>
      </c>
      <c r="O314" s="2">
        <v>78</v>
      </c>
      <c r="P314" s="2">
        <v>1.3</v>
      </c>
      <c r="Q314" s="2"/>
    </row>
    <row r="315" spans="2:17" x14ac:dyDescent="0.3">
      <c r="B315" s="2">
        <v>-1</v>
      </c>
      <c r="C315" s="2" t="s">
        <v>107</v>
      </c>
      <c r="D315" s="2">
        <v>78</v>
      </c>
      <c r="E315" s="2" t="s">
        <v>18</v>
      </c>
      <c r="F315" s="2" t="s">
        <v>15</v>
      </c>
      <c r="G315" s="2"/>
      <c r="H315" s="2">
        <v>2.6</v>
      </c>
      <c r="I315" s="2">
        <v>-21.554200000000002</v>
      </c>
      <c r="J315" s="2">
        <v>-2.0221</v>
      </c>
      <c r="K315" s="2">
        <v>2.8899999999999999E-2</v>
      </c>
      <c r="L315" s="2">
        <v>5.0000000000000001E-4</v>
      </c>
      <c r="M315" s="2">
        <v>-5.7700000000000001E-2</v>
      </c>
      <c r="N315" s="2">
        <v>3.5691999999999999</v>
      </c>
      <c r="O315" s="2">
        <v>78</v>
      </c>
      <c r="P315" s="2">
        <v>2.6</v>
      </c>
      <c r="Q315" s="2"/>
    </row>
    <row r="316" spans="2:17" x14ac:dyDescent="0.3">
      <c r="B316" s="2">
        <v>-1</v>
      </c>
      <c r="C316" s="2" t="s">
        <v>107</v>
      </c>
      <c r="D316" s="2">
        <v>78</v>
      </c>
      <c r="E316" s="2" t="s">
        <v>19</v>
      </c>
      <c r="F316" s="2" t="s">
        <v>20</v>
      </c>
      <c r="G316" s="2" t="s">
        <v>21</v>
      </c>
      <c r="H316" s="2">
        <v>0</v>
      </c>
      <c r="I316" s="2">
        <v>3.5299999999999998E-2</v>
      </c>
      <c r="J316" s="2">
        <v>0.28339999999999999</v>
      </c>
      <c r="K316" s="2">
        <v>2.5999999999999999E-2</v>
      </c>
      <c r="L316" s="2">
        <v>3.3E-3</v>
      </c>
      <c r="M316" s="2">
        <v>2.7799999999999998E-2</v>
      </c>
      <c r="N316" s="2">
        <v>0.42859999999999998</v>
      </c>
      <c r="O316" s="2">
        <v>78</v>
      </c>
      <c r="P316" s="2">
        <v>0</v>
      </c>
      <c r="Q316" s="2"/>
    </row>
    <row r="317" spans="2:17" x14ac:dyDescent="0.3">
      <c r="B317" s="2">
        <v>-1</v>
      </c>
      <c r="C317" s="2" t="s">
        <v>107</v>
      </c>
      <c r="D317" s="2">
        <v>78</v>
      </c>
      <c r="E317" s="2" t="s">
        <v>19</v>
      </c>
      <c r="F317" s="2" t="s">
        <v>20</v>
      </c>
      <c r="G317" s="2" t="s">
        <v>21</v>
      </c>
      <c r="H317" s="2">
        <v>1.3</v>
      </c>
      <c r="I317" s="2">
        <v>3.5299999999999998E-2</v>
      </c>
      <c r="J317" s="2">
        <v>0.28339999999999999</v>
      </c>
      <c r="K317" s="2">
        <v>2.5999999999999999E-2</v>
      </c>
      <c r="L317" s="2">
        <v>3.3E-3</v>
      </c>
      <c r="M317" s="2">
        <v>6.4999999999999997E-3</v>
      </c>
      <c r="N317" s="2">
        <v>6.0199999999999997E-2</v>
      </c>
      <c r="O317" s="2">
        <v>78</v>
      </c>
      <c r="P317" s="2">
        <v>1.3</v>
      </c>
      <c r="Q317" s="2"/>
    </row>
    <row r="318" spans="2:17" x14ac:dyDescent="0.3">
      <c r="B318" s="2">
        <v>-1</v>
      </c>
      <c r="C318" s="2" t="s">
        <v>107</v>
      </c>
      <c r="D318" s="2">
        <v>78</v>
      </c>
      <c r="E318" s="2" t="s">
        <v>19</v>
      </c>
      <c r="F318" s="2" t="s">
        <v>20</v>
      </c>
      <c r="G318" s="2" t="s">
        <v>21</v>
      </c>
      <c r="H318" s="2">
        <v>2.6</v>
      </c>
      <c r="I318" s="2">
        <v>3.5299999999999998E-2</v>
      </c>
      <c r="J318" s="2">
        <v>0.28339999999999999</v>
      </c>
      <c r="K318" s="2">
        <v>2.5999999999999999E-2</v>
      </c>
      <c r="L318" s="2">
        <v>3.3E-3</v>
      </c>
      <c r="M318" s="2">
        <v>0.04</v>
      </c>
      <c r="N318" s="2">
        <v>0.30830000000000002</v>
      </c>
      <c r="O318" s="2">
        <v>78</v>
      </c>
      <c r="P318" s="2">
        <v>2.6</v>
      </c>
      <c r="Q318" s="2"/>
    </row>
    <row r="319" spans="2:17" x14ac:dyDescent="0.3">
      <c r="B319" s="2">
        <v>-1</v>
      </c>
      <c r="C319" s="2" t="s">
        <v>107</v>
      </c>
      <c r="D319" s="2">
        <v>78</v>
      </c>
      <c r="E319" s="2" t="s">
        <v>22</v>
      </c>
      <c r="F319" s="2" t="s">
        <v>20</v>
      </c>
      <c r="G319" s="2" t="s">
        <v>21</v>
      </c>
      <c r="H319" s="2">
        <v>0</v>
      </c>
      <c r="I319" s="2">
        <v>3.9399999999999998E-2</v>
      </c>
      <c r="J319" s="2">
        <v>5.3400000000000003E-2</v>
      </c>
      <c r="K319" s="2">
        <v>0.1371</v>
      </c>
      <c r="L319" s="2">
        <v>6.9999999999999999E-4</v>
      </c>
      <c r="M319" s="2">
        <v>0.18340000000000001</v>
      </c>
      <c r="N319" s="2">
        <v>7.5600000000000001E-2</v>
      </c>
      <c r="O319" s="2">
        <v>78</v>
      </c>
      <c r="P319" s="2">
        <v>0</v>
      </c>
      <c r="Q319" s="2"/>
    </row>
    <row r="320" spans="2:17" x14ac:dyDescent="0.3">
      <c r="B320" s="2">
        <v>-1</v>
      </c>
      <c r="C320" s="2" t="s">
        <v>107</v>
      </c>
      <c r="D320" s="2">
        <v>78</v>
      </c>
      <c r="E320" s="2" t="s">
        <v>22</v>
      </c>
      <c r="F320" s="2" t="s">
        <v>20</v>
      </c>
      <c r="G320" s="2" t="s">
        <v>21</v>
      </c>
      <c r="H320" s="2">
        <v>1.3</v>
      </c>
      <c r="I320" s="2">
        <v>3.9399999999999998E-2</v>
      </c>
      <c r="J320" s="2">
        <v>5.3400000000000003E-2</v>
      </c>
      <c r="K320" s="2">
        <v>0.1371</v>
      </c>
      <c r="L320" s="2">
        <v>6.9999999999999999E-4</v>
      </c>
      <c r="M320" s="2">
        <v>6.1999999999999998E-3</v>
      </c>
      <c r="N320" s="2">
        <v>1.23E-2</v>
      </c>
      <c r="O320" s="2">
        <v>78</v>
      </c>
      <c r="P320" s="2">
        <v>1.3</v>
      </c>
      <c r="Q320" s="2"/>
    </row>
    <row r="321" spans="2:17" x14ac:dyDescent="0.3">
      <c r="B321" s="2">
        <v>-1</v>
      </c>
      <c r="C321" s="2" t="s">
        <v>107</v>
      </c>
      <c r="D321" s="2">
        <v>78</v>
      </c>
      <c r="E321" s="2" t="s">
        <v>22</v>
      </c>
      <c r="F321" s="2" t="s">
        <v>20</v>
      </c>
      <c r="G321" s="2" t="s">
        <v>21</v>
      </c>
      <c r="H321" s="2">
        <v>2.6</v>
      </c>
      <c r="I321" s="2">
        <v>3.9399999999999998E-2</v>
      </c>
      <c r="J321" s="2">
        <v>5.3400000000000003E-2</v>
      </c>
      <c r="K321" s="2">
        <v>0.1371</v>
      </c>
      <c r="L321" s="2">
        <v>6.9999999999999999E-4</v>
      </c>
      <c r="M321" s="2">
        <v>0.17299999999999999</v>
      </c>
      <c r="N321" s="2">
        <v>6.4600000000000005E-2</v>
      </c>
      <c r="O321" s="2">
        <v>78</v>
      </c>
      <c r="P321" s="2">
        <v>2.6</v>
      </c>
      <c r="Q321" s="2"/>
    </row>
    <row r="322" spans="2:17" x14ac:dyDescent="0.3">
      <c r="B322" s="2">
        <v>-1</v>
      </c>
      <c r="C322" s="2" t="s">
        <v>107</v>
      </c>
      <c r="D322" s="2">
        <v>78</v>
      </c>
      <c r="E322" s="2" t="s">
        <v>23</v>
      </c>
      <c r="F322" s="2" t="s">
        <v>24</v>
      </c>
      <c r="G322" s="2"/>
      <c r="H322" s="2">
        <v>0</v>
      </c>
      <c r="I322" s="2">
        <v>-35.916899999999998</v>
      </c>
      <c r="J322" s="2">
        <v>-3.0268000000000002</v>
      </c>
      <c r="K322" s="2">
        <v>4.0099999999999997E-2</v>
      </c>
      <c r="L322" s="2">
        <v>4.0000000000000002E-4</v>
      </c>
      <c r="M322" s="2">
        <v>2.1899999999999999E-2</v>
      </c>
      <c r="N322" s="2">
        <v>-2.5246</v>
      </c>
      <c r="O322" s="2">
        <v>78</v>
      </c>
      <c r="P322" s="2">
        <v>0</v>
      </c>
      <c r="Q322" s="2"/>
    </row>
    <row r="323" spans="2:17" x14ac:dyDescent="0.3">
      <c r="B323" s="2">
        <v>-1</v>
      </c>
      <c r="C323" s="2" t="s">
        <v>107</v>
      </c>
      <c r="D323" s="2">
        <v>78</v>
      </c>
      <c r="E323" s="2" t="s">
        <v>23</v>
      </c>
      <c r="F323" s="2" t="s">
        <v>24</v>
      </c>
      <c r="G323" s="2"/>
      <c r="H323" s="2">
        <v>1.3</v>
      </c>
      <c r="I323" s="2">
        <v>-35.234400000000001</v>
      </c>
      <c r="J323" s="2">
        <v>-3.0268000000000002</v>
      </c>
      <c r="K323" s="2">
        <v>4.0099999999999997E-2</v>
      </c>
      <c r="L323" s="2">
        <v>4.0000000000000002E-4</v>
      </c>
      <c r="M323" s="2">
        <v>-3.0300000000000001E-2</v>
      </c>
      <c r="N323" s="2">
        <v>1.4101999999999999</v>
      </c>
      <c r="O323" s="2">
        <v>78</v>
      </c>
      <c r="P323" s="2">
        <v>1.3</v>
      </c>
      <c r="Q323" s="2"/>
    </row>
    <row r="324" spans="2:17" x14ac:dyDescent="0.3">
      <c r="B324" s="2">
        <v>-1</v>
      </c>
      <c r="C324" s="2" t="s">
        <v>107</v>
      </c>
      <c r="D324" s="2">
        <v>78</v>
      </c>
      <c r="E324" s="2" t="s">
        <v>23</v>
      </c>
      <c r="F324" s="2" t="s">
        <v>24</v>
      </c>
      <c r="G324" s="2"/>
      <c r="H324" s="2">
        <v>2.6</v>
      </c>
      <c r="I324" s="2">
        <v>-34.551900000000003</v>
      </c>
      <c r="J324" s="2">
        <v>-3.0268000000000002</v>
      </c>
      <c r="K324" s="2">
        <v>4.0099999999999997E-2</v>
      </c>
      <c r="L324" s="2">
        <v>4.0000000000000002E-4</v>
      </c>
      <c r="M324" s="2">
        <v>-8.2400000000000001E-2</v>
      </c>
      <c r="N324" s="2">
        <v>5.3449999999999998</v>
      </c>
      <c r="O324" s="2">
        <v>78</v>
      </c>
      <c r="P324" s="2">
        <v>2.6</v>
      </c>
      <c r="Q324" s="2"/>
    </row>
    <row r="325" spans="2:17" x14ac:dyDescent="0.3">
      <c r="B325" s="2">
        <v>-1</v>
      </c>
      <c r="C325" s="2" t="s">
        <v>107</v>
      </c>
      <c r="D325" s="2">
        <v>78</v>
      </c>
      <c r="E325" s="2" t="s">
        <v>25</v>
      </c>
      <c r="F325" s="2" t="s">
        <v>24</v>
      </c>
      <c r="G325" s="2"/>
      <c r="H325" s="2">
        <v>0</v>
      </c>
      <c r="I325" s="2">
        <v>-65.2727</v>
      </c>
      <c r="J325" s="2">
        <v>-5.8297999999999996</v>
      </c>
      <c r="K325" s="2">
        <v>8.0600000000000005E-2</v>
      </c>
      <c r="L325" s="2">
        <v>1.1000000000000001E-3</v>
      </c>
      <c r="M325" s="2">
        <v>4.65E-2</v>
      </c>
      <c r="N325" s="2">
        <v>-4.8654000000000002</v>
      </c>
      <c r="O325" s="2">
        <v>78</v>
      </c>
      <c r="P325" s="2">
        <v>0</v>
      </c>
      <c r="Q325" s="2"/>
    </row>
    <row r="326" spans="2:17" x14ac:dyDescent="0.3">
      <c r="B326" s="2">
        <v>-1</v>
      </c>
      <c r="C326" s="2" t="s">
        <v>107</v>
      </c>
      <c r="D326" s="2">
        <v>78</v>
      </c>
      <c r="E326" s="2" t="s">
        <v>25</v>
      </c>
      <c r="F326" s="2" t="s">
        <v>24</v>
      </c>
      <c r="G326" s="2"/>
      <c r="H326" s="2">
        <v>1.3</v>
      </c>
      <c r="I326" s="2">
        <v>-64.687700000000007</v>
      </c>
      <c r="J326" s="2">
        <v>-5.8297999999999996</v>
      </c>
      <c r="K326" s="2">
        <v>8.0600000000000005E-2</v>
      </c>
      <c r="L326" s="2">
        <v>1.1000000000000001E-3</v>
      </c>
      <c r="M326" s="2">
        <v>-5.8200000000000002E-2</v>
      </c>
      <c r="N326" s="2">
        <v>2.7134</v>
      </c>
      <c r="O326" s="2">
        <v>78</v>
      </c>
      <c r="P326" s="2">
        <v>1.3</v>
      </c>
      <c r="Q326" s="2"/>
    </row>
    <row r="327" spans="2:17" x14ac:dyDescent="0.3">
      <c r="B327" s="2">
        <v>-1</v>
      </c>
      <c r="C327" s="2" t="s">
        <v>107</v>
      </c>
      <c r="D327" s="2">
        <v>78</v>
      </c>
      <c r="E327" s="2" t="s">
        <v>25</v>
      </c>
      <c r="F327" s="2" t="s">
        <v>24</v>
      </c>
      <c r="G327" s="2"/>
      <c r="H327" s="2">
        <v>2.6</v>
      </c>
      <c r="I327" s="2">
        <v>-64.102699999999999</v>
      </c>
      <c r="J327" s="2">
        <v>-5.8297999999999996</v>
      </c>
      <c r="K327" s="2">
        <v>8.0600000000000005E-2</v>
      </c>
      <c r="L327" s="2">
        <v>1.1000000000000001E-3</v>
      </c>
      <c r="M327" s="2">
        <v>-0.16300000000000001</v>
      </c>
      <c r="N327" s="2">
        <v>10.292199999999999</v>
      </c>
      <c r="O327" s="2">
        <v>78</v>
      </c>
      <c r="P327" s="2">
        <v>2.6</v>
      </c>
      <c r="Q327" s="2"/>
    </row>
    <row r="328" spans="2:17" x14ac:dyDescent="0.3">
      <c r="B328" s="2">
        <v>-1</v>
      </c>
      <c r="C328" s="2" t="s">
        <v>107</v>
      </c>
      <c r="D328" s="2">
        <v>78</v>
      </c>
      <c r="E328" s="2" t="s">
        <v>26</v>
      </c>
      <c r="F328" s="2" t="s">
        <v>24</v>
      </c>
      <c r="G328" s="2" t="s">
        <v>21</v>
      </c>
      <c r="H328" s="2">
        <v>0</v>
      </c>
      <c r="I328" s="2">
        <v>-23.04</v>
      </c>
      <c r="J328" s="2">
        <v>-1.5489999999999999</v>
      </c>
      <c r="K328" s="2">
        <v>6.2199999999999998E-2</v>
      </c>
      <c r="L328" s="2">
        <v>4.8999999999999998E-3</v>
      </c>
      <c r="M328" s="2">
        <v>5.3100000000000001E-2</v>
      </c>
      <c r="N328" s="2">
        <v>-1.0229999999999999</v>
      </c>
      <c r="O328" s="2">
        <v>78</v>
      </c>
      <c r="P328" s="2">
        <v>0</v>
      </c>
      <c r="Q328" s="2"/>
    </row>
    <row r="329" spans="2:17" x14ac:dyDescent="0.3">
      <c r="B329" s="2">
        <v>-1</v>
      </c>
      <c r="C329" s="2" t="s">
        <v>107</v>
      </c>
      <c r="D329" s="2">
        <v>78</v>
      </c>
      <c r="E329" s="2" t="s">
        <v>26</v>
      </c>
      <c r="F329" s="2" t="s">
        <v>24</v>
      </c>
      <c r="G329" s="2" t="s">
        <v>21</v>
      </c>
      <c r="H329" s="2">
        <v>1.3</v>
      </c>
      <c r="I329" s="2">
        <v>-22.601299999999998</v>
      </c>
      <c r="J329" s="2">
        <v>-1.5489999999999999</v>
      </c>
      <c r="K329" s="2">
        <v>6.2199999999999998E-2</v>
      </c>
      <c r="L329" s="2">
        <v>4.8999999999999998E-3</v>
      </c>
      <c r="M329" s="2">
        <v>-1.04E-2</v>
      </c>
      <c r="N329" s="2">
        <v>0.99080000000000001</v>
      </c>
      <c r="O329" s="2">
        <v>78</v>
      </c>
      <c r="P329" s="2">
        <v>1.3</v>
      </c>
      <c r="Q329" s="2"/>
    </row>
    <row r="330" spans="2:17" x14ac:dyDescent="0.3">
      <c r="B330" s="2">
        <v>-1</v>
      </c>
      <c r="C330" s="2" t="s">
        <v>107</v>
      </c>
      <c r="D330" s="2">
        <v>78</v>
      </c>
      <c r="E330" s="2" t="s">
        <v>26</v>
      </c>
      <c r="F330" s="2" t="s">
        <v>24</v>
      </c>
      <c r="G330" s="2" t="s">
        <v>21</v>
      </c>
      <c r="H330" s="2">
        <v>2.6</v>
      </c>
      <c r="I330" s="2">
        <v>-22.162500000000001</v>
      </c>
      <c r="J330" s="2">
        <v>-1.5489999999999999</v>
      </c>
      <c r="K330" s="2">
        <v>6.2199999999999998E-2</v>
      </c>
      <c r="L330" s="2">
        <v>4.8999999999999998E-3</v>
      </c>
      <c r="M330" s="2">
        <v>3.0000000000000001E-3</v>
      </c>
      <c r="N330" s="2">
        <v>3.8677000000000001</v>
      </c>
      <c r="O330" s="2">
        <v>78</v>
      </c>
      <c r="P330" s="2">
        <v>2.6</v>
      </c>
      <c r="Q330" s="2"/>
    </row>
    <row r="331" spans="2:17" x14ac:dyDescent="0.3">
      <c r="B331" s="2">
        <v>-1</v>
      </c>
      <c r="C331" s="2" t="s">
        <v>107</v>
      </c>
      <c r="D331" s="2">
        <v>78</v>
      </c>
      <c r="E331" s="2" t="s">
        <v>26</v>
      </c>
      <c r="F331" s="2" t="s">
        <v>24</v>
      </c>
      <c r="G331" s="2" t="s">
        <v>27</v>
      </c>
      <c r="H331" s="2">
        <v>0</v>
      </c>
      <c r="I331" s="2">
        <v>-23.1389</v>
      </c>
      <c r="J331" s="2">
        <v>-2.3426</v>
      </c>
      <c r="K331" s="2">
        <v>-1.06E-2</v>
      </c>
      <c r="L331" s="2">
        <v>-4.4000000000000003E-3</v>
      </c>
      <c r="M331" s="2">
        <v>-2.4899999999999999E-2</v>
      </c>
      <c r="N331" s="2">
        <v>-2.2229999999999999</v>
      </c>
      <c r="O331" s="2">
        <v>78</v>
      </c>
      <c r="P331" s="2">
        <v>0</v>
      </c>
      <c r="Q331" s="2"/>
    </row>
    <row r="332" spans="2:17" x14ac:dyDescent="0.3">
      <c r="B332" s="2">
        <v>-1</v>
      </c>
      <c r="C332" s="2" t="s">
        <v>107</v>
      </c>
      <c r="D332" s="2">
        <v>78</v>
      </c>
      <c r="E332" s="2" t="s">
        <v>26</v>
      </c>
      <c r="F332" s="2" t="s">
        <v>24</v>
      </c>
      <c r="G332" s="2" t="s">
        <v>27</v>
      </c>
      <c r="H332" s="2">
        <v>1.3</v>
      </c>
      <c r="I332" s="2">
        <v>-22.700099999999999</v>
      </c>
      <c r="J332" s="2">
        <v>-2.3426</v>
      </c>
      <c r="K332" s="2">
        <v>-1.06E-2</v>
      </c>
      <c r="L332" s="2">
        <v>-4.4000000000000003E-3</v>
      </c>
      <c r="M332" s="2">
        <v>-2.8500000000000001E-2</v>
      </c>
      <c r="N332" s="2">
        <v>0.82230000000000003</v>
      </c>
      <c r="O332" s="2">
        <v>78</v>
      </c>
      <c r="P332" s="2">
        <v>1.3</v>
      </c>
      <c r="Q332" s="2"/>
    </row>
    <row r="333" spans="2:17" x14ac:dyDescent="0.3">
      <c r="B333" s="2">
        <v>-1</v>
      </c>
      <c r="C333" s="2" t="s">
        <v>107</v>
      </c>
      <c r="D333" s="2">
        <v>78</v>
      </c>
      <c r="E333" s="2" t="s">
        <v>26</v>
      </c>
      <c r="F333" s="2" t="s">
        <v>24</v>
      </c>
      <c r="G333" s="2" t="s">
        <v>27</v>
      </c>
      <c r="H333" s="2">
        <v>2.6</v>
      </c>
      <c r="I333" s="2">
        <v>-22.261399999999998</v>
      </c>
      <c r="J333" s="2">
        <v>-2.3426</v>
      </c>
      <c r="K333" s="2">
        <v>-1.06E-2</v>
      </c>
      <c r="L333" s="2">
        <v>-4.4000000000000003E-3</v>
      </c>
      <c r="M333" s="2">
        <v>-0.109</v>
      </c>
      <c r="N333" s="2">
        <v>3.0045000000000002</v>
      </c>
      <c r="O333" s="2">
        <v>78</v>
      </c>
      <c r="P333" s="2">
        <v>2.6</v>
      </c>
      <c r="Q333" s="2"/>
    </row>
    <row r="334" spans="2:17" x14ac:dyDescent="0.3">
      <c r="B334" s="2">
        <v>-1</v>
      </c>
      <c r="C334" s="2" t="s">
        <v>107</v>
      </c>
      <c r="D334" s="2">
        <v>78</v>
      </c>
      <c r="E334" s="2" t="s">
        <v>28</v>
      </c>
      <c r="F334" s="2" t="s">
        <v>24</v>
      </c>
      <c r="G334" s="2" t="s">
        <v>21</v>
      </c>
      <c r="H334" s="2">
        <v>0</v>
      </c>
      <c r="I334" s="2">
        <v>-52.290700000000001</v>
      </c>
      <c r="J334" s="2">
        <v>-4.2198000000000002</v>
      </c>
      <c r="K334" s="2">
        <v>9.9699999999999997E-2</v>
      </c>
      <c r="L334" s="2">
        <v>5.4000000000000003E-3</v>
      </c>
      <c r="M334" s="2">
        <v>7.51E-2</v>
      </c>
      <c r="N334" s="2">
        <v>-3.2523</v>
      </c>
      <c r="O334" s="2">
        <v>78</v>
      </c>
      <c r="P334" s="2">
        <v>0</v>
      </c>
      <c r="Q334" s="2"/>
    </row>
    <row r="335" spans="2:17" x14ac:dyDescent="0.3">
      <c r="B335" s="2">
        <v>-1</v>
      </c>
      <c r="C335" s="2" t="s">
        <v>107</v>
      </c>
      <c r="D335" s="2">
        <v>78</v>
      </c>
      <c r="E335" s="2" t="s">
        <v>28</v>
      </c>
      <c r="F335" s="2" t="s">
        <v>24</v>
      </c>
      <c r="G335" s="2" t="s">
        <v>21</v>
      </c>
      <c r="H335" s="2">
        <v>1.3</v>
      </c>
      <c r="I335" s="2">
        <v>-51.7057</v>
      </c>
      <c r="J335" s="2">
        <v>-4.2198000000000002</v>
      </c>
      <c r="K335" s="2">
        <v>9.9699999999999997E-2</v>
      </c>
      <c r="L335" s="2">
        <v>5.4000000000000003E-3</v>
      </c>
      <c r="M335" s="2">
        <v>-3.7100000000000001E-2</v>
      </c>
      <c r="N335" s="2">
        <v>2.2334000000000001</v>
      </c>
      <c r="O335" s="2">
        <v>78</v>
      </c>
      <c r="P335" s="2">
        <v>1.3</v>
      </c>
      <c r="Q335" s="2"/>
    </row>
    <row r="336" spans="2:17" x14ac:dyDescent="0.3">
      <c r="B336" s="2">
        <v>-1</v>
      </c>
      <c r="C336" s="2" t="s">
        <v>107</v>
      </c>
      <c r="D336" s="2">
        <v>78</v>
      </c>
      <c r="E336" s="2" t="s">
        <v>28</v>
      </c>
      <c r="F336" s="2" t="s">
        <v>24</v>
      </c>
      <c r="G336" s="2" t="s">
        <v>21</v>
      </c>
      <c r="H336" s="2">
        <v>2.6</v>
      </c>
      <c r="I336" s="2">
        <v>-51.120699999999999</v>
      </c>
      <c r="J336" s="2">
        <v>-4.2198000000000002</v>
      </c>
      <c r="K336" s="2">
        <v>9.9699999999999997E-2</v>
      </c>
      <c r="L336" s="2">
        <v>5.4000000000000003E-3</v>
      </c>
      <c r="M336" s="2">
        <v>-7.2300000000000003E-2</v>
      </c>
      <c r="N336" s="2">
        <v>8.5823</v>
      </c>
      <c r="O336" s="2">
        <v>78</v>
      </c>
      <c r="P336" s="2">
        <v>2.6</v>
      </c>
      <c r="Q336" s="2"/>
    </row>
    <row r="337" spans="2:17" x14ac:dyDescent="0.3">
      <c r="B337" s="2">
        <v>-1</v>
      </c>
      <c r="C337" s="2" t="s">
        <v>107</v>
      </c>
      <c r="D337" s="2">
        <v>78</v>
      </c>
      <c r="E337" s="2" t="s">
        <v>28</v>
      </c>
      <c r="F337" s="2" t="s">
        <v>24</v>
      </c>
      <c r="G337" s="2" t="s">
        <v>27</v>
      </c>
      <c r="H337" s="2">
        <v>0</v>
      </c>
      <c r="I337" s="2">
        <v>-52.389600000000002</v>
      </c>
      <c r="J337" s="2">
        <v>-5.0133000000000001</v>
      </c>
      <c r="K337" s="2">
        <v>2.6800000000000001E-2</v>
      </c>
      <c r="L337" s="2">
        <v>-3.8E-3</v>
      </c>
      <c r="M337" s="2">
        <v>-2.8999999999999998E-3</v>
      </c>
      <c r="N337" s="2">
        <v>-4.4523999999999999</v>
      </c>
      <c r="O337" s="2">
        <v>78</v>
      </c>
      <c r="P337" s="2">
        <v>0</v>
      </c>
      <c r="Q337" s="2"/>
    </row>
    <row r="338" spans="2:17" x14ac:dyDescent="0.3">
      <c r="B338" s="2">
        <v>-1</v>
      </c>
      <c r="C338" s="2" t="s">
        <v>107</v>
      </c>
      <c r="D338" s="2">
        <v>78</v>
      </c>
      <c r="E338" s="2" t="s">
        <v>28</v>
      </c>
      <c r="F338" s="2" t="s">
        <v>24</v>
      </c>
      <c r="G338" s="2" t="s">
        <v>27</v>
      </c>
      <c r="H338" s="2">
        <v>1.3</v>
      </c>
      <c r="I338" s="2">
        <v>-51.804600000000001</v>
      </c>
      <c r="J338" s="2">
        <v>-5.0133000000000001</v>
      </c>
      <c r="K338" s="2">
        <v>2.6800000000000001E-2</v>
      </c>
      <c r="L338" s="2">
        <v>-3.8E-3</v>
      </c>
      <c r="M338" s="2">
        <v>-5.5199999999999999E-2</v>
      </c>
      <c r="N338" s="2">
        <v>2.0649000000000002</v>
      </c>
      <c r="O338" s="2">
        <v>78</v>
      </c>
      <c r="P338" s="2">
        <v>1.3</v>
      </c>
      <c r="Q338" s="2"/>
    </row>
    <row r="339" spans="2:17" x14ac:dyDescent="0.3">
      <c r="B339" s="2">
        <v>-1</v>
      </c>
      <c r="C339" s="2" t="s">
        <v>107</v>
      </c>
      <c r="D339" s="2">
        <v>78</v>
      </c>
      <c r="E339" s="2" t="s">
        <v>28</v>
      </c>
      <c r="F339" s="2" t="s">
        <v>24</v>
      </c>
      <c r="G339" s="2" t="s">
        <v>27</v>
      </c>
      <c r="H339" s="2">
        <v>2.6</v>
      </c>
      <c r="I339" s="2">
        <v>-51.2196</v>
      </c>
      <c r="J339" s="2">
        <v>-5.0133000000000001</v>
      </c>
      <c r="K339" s="2">
        <v>2.6800000000000001E-2</v>
      </c>
      <c r="L339" s="2">
        <v>-3.8E-3</v>
      </c>
      <c r="M339" s="2">
        <v>-0.18429999999999999</v>
      </c>
      <c r="N339" s="2">
        <v>7.7190000000000003</v>
      </c>
      <c r="O339" s="2">
        <v>78</v>
      </c>
      <c r="P339" s="2">
        <v>2.6</v>
      </c>
      <c r="Q339" s="2"/>
    </row>
    <row r="340" spans="2:17" x14ac:dyDescent="0.3">
      <c r="B340" s="2">
        <v>-1</v>
      </c>
      <c r="C340" s="2" t="s">
        <v>107</v>
      </c>
      <c r="D340" s="2">
        <v>78</v>
      </c>
      <c r="E340" s="2" t="s">
        <v>29</v>
      </c>
      <c r="F340" s="2" t="s">
        <v>24</v>
      </c>
      <c r="G340" s="2" t="s">
        <v>21</v>
      </c>
      <c r="H340" s="2">
        <v>0</v>
      </c>
      <c r="I340" s="2">
        <v>-52.284999999999997</v>
      </c>
      <c r="J340" s="2">
        <v>-4.5418000000000003</v>
      </c>
      <c r="K340" s="2">
        <v>0.25509999999999999</v>
      </c>
      <c r="L340" s="2">
        <v>1.8E-3</v>
      </c>
      <c r="M340" s="2">
        <v>0.29289999999999999</v>
      </c>
      <c r="N340" s="2">
        <v>-3.7465999999999999</v>
      </c>
      <c r="O340" s="2">
        <v>78</v>
      </c>
      <c r="P340" s="2">
        <v>0</v>
      </c>
      <c r="Q340" s="2"/>
    </row>
    <row r="341" spans="2:17" x14ac:dyDescent="0.3">
      <c r="B341" s="2">
        <v>-1</v>
      </c>
      <c r="C341" s="2" t="s">
        <v>107</v>
      </c>
      <c r="D341" s="2">
        <v>78</v>
      </c>
      <c r="E341" s="2" t="s">
        <v>29</v>
      </c>
      <c r="F341" s="2" t="s">
        <v>24</v>
      </c>
      <c r="G341" s="2" t="s">
        <v>21</v>
      </c>
      <c r="H341" s="2">
        <v>1.3</v>
      </c>
      <c r="I341" s="2">
        <v>-51.7</v>
      </c>
      <c r="J341" s="2">
        <v>-4.5418000000000003</v>
      </c>
      <c r="K341" s="2">
        <v>0.25509999999999999</v>
      </c>
      <c r="L341" s="2">
        <v>1.8E-3</v>
      </c>
      <c r="M341" s="2">
        <v>-3.7400000000000003E-2</v>
      </c>
      <c r="N341" s="2">
        <v>2.1663000000000001</v>
      </c>
      <c r="O341" s="2">
        <v>78</v>
      </c>
      <c r="P341" s="2">
        <v>1.3</v>
      </c>
      <c r="Q341" s="2"/>
    </row>
    <row r="342" spans="2:17" x14ac:dyDescent="0.3">
      <c r="B342" s="2">
        <v>-1</v>
      </c>
      <c r="C342" s="2" t="s">
        <v>107</v>
      </c>
      <c r="D342" s="2">
        <v>78</v>
      </c>
      <c r="E342" s="2" t="s">
        <v>29</v>
      </c>
      <c r="F342" s="2" t="s">
        <v>24</v>
      </c>
      <c r="G342" s="2" t="s">
        <v>21</v>
      </c>
      <c r="H342" s="2">
        <v>2.6</v>
      </c>
      <c r="I342" s="2">
        <v>-51.115000000000002</v>
      </c>
      <c r="J342" s="2">
        <v>-4.5418000000000003</v>
      </c>
      <c r="K342" s="2">
        <v>0.25509999999999999</v>
      </c>
      <c r="L342" s="2">
        <v>1.8E-3</v>
      </c>
      <c r="M342" s="2">
        <v>0.1138</v>
      </c>
      <c r="N342" s="2">
        <v>8.2410999999999994</v>
      </c>
      <c r="O342" s="2">
        <v>78</v>
      </c>
      <c r="P342" s="2">
        <v>2.6</v>
      </c>
      <c r="Q342" s="2"/>
    </row>
    <row r="343" spans="2:17" x14ac:dyDescent="0.3">
      <c r="B343" s="2">
        <v>-1</v>
      </c>
      <c r="C343" s="2" t="s">
        <v>107</v>
      </c>
      <c r="D343" s="2">
        <v>78</v>
      </c>
      <c r="E343" s="2" t="s">
        <v>29</v>
      </c>
      <c r="F343" s="2" t="s">
        <v>24</v>
      </c>
      <c r="G343" s="2" t="s">
        <v>27</v>
      </c>
      <c r="H343" s="2">
        <v>0</v>
      </c>
      <c r="I343" s="2">
        <v>-52.395299999999999</v>
      </c>
      <c r="J343" s="2">
        <v>-4.6913</v>
      </c>
      <c r="K343" s="2">
        <v>-0.12859999999999999</v>
      </c>
      <c r="L343" s="2">
        <v>-2.0000000000000001E-4</v>
      </c>
      <c r="M343" s="2">
        <v>-0.22070000000000001</v>
      </c>
      <c r="N343" s="2">
        <v>-3.9581</v>
      </c>
      <c r="O343" s="2">
        <v>78</v>
      </c>
      <c r="P343" s="2">
        <v>0</v>
      </c>
      <c r="Q343" s="2"/>
    </row>
    <row r="344" spans="2:17" x14ac:dyDescent="0.3">
      <c r="B344" s="2">
        <v>-1</v>
      </c>
      <c r="C344" s="2" t="s">
        <v>107</v>
      </c>
      <c r="D344" s="2">
        <v>78</v>
      </c>
      <c r="E344" s="2" t="s">
        <v>29</v>
      </c>
      <c r="F344" s="2" t="s">
        <v>24</v>
      </c>
      <c r="G344" s="2" t="s">
        <v>27</v>
      </c>
      <c r="H344" s="2">
        <v>1.3</v>
      </c>
      <c r="I344" s="2">
        <v>-51.810299999999998</v>
      </c>
      <c r="J344" s="2">
        <v>-4.6913</v>
      </c>
      <c r="K344" s="2">
        <v>-0.12859999999999999</v>
      </c>
      <c r="L344" s="2">
        <v>-2.0000000000000001E-4</v>
      </c>
      <c r="M344" s="2">
        <v>-5.4800000000000001E-2</v>
      </c>
      <c r="N344" s="2">
        <v>2.1320000000000001</v>
      </c>
      <c r="O344" s="2">
        <v>78</v>
      </c>
      <c r="P344" s="2">
        <v>1.3</v>
      </c>
      <c r="Q344" s="2"/>
    </row>
    <row r="345" spans="2:17" x14ac:dyDescent="0.3">
      <c r="B345" s="2">
        <v>-1</v>
      </c>
      <c r="C345" s="2" t="s">
        <v>107</v>
      </c>
      <c r="D345" s="2">
        <v>78</v>
      </c>
      <c r="E345" s="2" t="s">
        <v>29</v>
      </c>
      <c r="F345" s="2" t="s">
        <v>24</v>
      </c>
      <c r="G345" s="2" t="s">
        <v>27</v>
      </c>
      <c r="H345" s="2">
        <v>2.6</v>
      </c>
      <c r="I345" s="2">
        <v>-51.225299999999997</v>
      </c>
      <c r="J345" s="2">
        <v>-4.6913</v>
      </c>
      <c r="K345" s="2">
        <v>-0.12859999999999999</v>
      </c>
      <c r="L345" s="2">
        <v>-2.0000000000000001E-4</v>
      </c>
      <c r="M345" s="2">
        <v>-0.3705</v>
      </c>
      <c r="N345" s="2">
        <v>8.0602</v>
      </c>
      <c r="O345" s="2">
        <v>78</v>
      </c>
      <c r="P345" s="2">
        <v>2.6</v>
      </c>
      <c r="Q345" s="2"/>
    </row>
    <row r="346" spans="2:17" x14ac:dyDescent="0.3">
      <c r="B346" s="2">
        <v>-1</v>
      </c>
      <c r="C346" s="2" t="s">
        <v>107</v>
      </c>
      <c r="D346" s="2">
        <v>78</v>
      </c>
      <c r="E346" s="2" t="s">
        <v>30</v>
      </c>
      <c r="F346" s="2" t="s">
        <v>24</v>
      </c>
      <c r="G346" s="2" t="s">
        <v>21</v>
      </c>
      <c r="H346" s="2">
        <v>0</v>
      </c>
      <c r="I346" s="2">
        <v>-23.034300000000002</v>
      </c>
      <c r="J346" s="2">
        <v>-1.5489999999999999</v>
      </c>
      <c r="K346" s="2">
        <v>0.25509999999999999</v>
      </c>
      <c r="L346" s="2">
        <v>5.4000000000000003E-3</v>
      </c>
      <c r="M346" s="2">
        <v>0.29289999999999999</v>
      </c>
      <c r="N346" s="2">
        <v>-1.0229999999999999</v>
      </c>
      <c r="O346" s="2">
        <v>78</v>
      </c>
      <c r="P346" s="2">
        <v>0</v>
      </c>
      <c r="Q346" s="2"/>
    </row>
    <row r="347" spans="2:17" x14ac:dyDescent="0.3">
      <c r="B347" s="2">
        <v>-1</v>
      </c>
      <c r="C347" s="2" t="s">
        <v>107</v>
      </c>
      <c r="D347" s="2">
        <v>78</v>
      </c>
      <c r="E347" s="2" t="s">
        <v>30</v>
      </c>
      <c r="F347" s="2" t="s">
        <v>24</v>
      </c>
      <c r="G347" s="2" t="s">
        <v>21</v>
      </c>
      <c r="H347" s="2">
        <v>1.3</v>
      </c>
      <c r="I347" s="2">
        <v>-22.595500000000001</v>
      </c>
      <c r="J347" s="2">
        <v>-1.5489999999999999</v>
      </c>
      <c r="K347" s="2">
        <v>0.25509999999999999</v>
      </c>
      <c r="L347" s="2">
        <v>5.4000000000000003E-3</v>
      </c>
      <c r="M347" s="2">
        <v>-1.04E-2</v>
      </c>
      <c r="N347" s="2">
        <v>2.7134</v>
      </c>
      <c r="O347" s="2">
        <v>78</v>
      </c>
      <c r="P347" s="2">
        <v>1.3</v>
      </c>
      <c r="Q347" s="2"/>
    </row>
    <row r="348" spans="2:17" x14ac:dyDescent="0.3">
      <c r="B348" s="2">
        <v>-1</v>
      </c>
      <c r="C348" s="2" t="s">
        <v>107</v>
      </c>
      <c r="D348" s="2">
        <v>78</v>
      </c>
      <c r="E348" s="2" t="s">
        <v>30</v>
      </c>
      <c r="F348" s="2" t="s">
        <v>24</v>
      </c>
      <c r="G348" s="2" t="s">
        <v>21</v>
      </c>
      <c r="H348" s="2">
        <v>2.6</v>
      </c>
      <c r="I348" s="2">
        <v>-22.1568</v>
      </c>
      <c r="J348" s="2">
        <v>-1.5489999999999999</v>
      </c>
      <c r="K348" s="2">
        <v>0.25509999999999999</v>
      </c>
      <c r="L348" s="2">
        <v>5.4000000000000003E-3</v>
      </c>
      <c r="M348" s="2">
        <v>0.18920000000000001</v>
      </c>
      <c r="N348" s="2">
        <v>10.292199999999999</v>
      </c>
      <c r="O348" s="2">
        <v>78</v>
      </c>
      <c r="P348" s="2">
        <v>2.6</v>
      </c>
      <c r="Q348" s="2"/>
    </row>
    <row r="349" spans="2:17" x14ac:dyDescent="0.3">
      <c r="B349" s="2">
        <v>-1</v>
      </c>
      <c r="C349" s="2" t="s">
        <v>107</v>
      </c>
      <c r="D349" s="2">
        <v>78</v>
      </c>
      <c r="E349" s="2" t="s">
        <v>30</v>
      </c>
      <c r="F349" s="2" t="s">
        <v>24</v>
      </c>
      <c r="G349" s="2" t="s">
        <v>27</v>
      </c>
      <c r="H349" s="2">
        <v>0</v>
      </c>
      <c r="I349" s="2">
        <v>-65.2727</v>
      </c>
      <c r="J349" s="2">
        <v>-5.8297999999999996</v>
      </c>
      <c r="K349" s="2">
        <v>-0.1661</v>
      </c>
      <c r="L349" s="2">
        <v>-4.4000000000000003E-3</v>
      </c>
      <c r="M349" s="2">
        <v>-0.2427</v>
      </c>
      <c r="N349" s="2">
        <v>-4.8654000000000002</v>
      </c>
      <c r="O349" s="2">
        <v>78</v>
      </c>
      <c r="P349" s="2">
        <v>0</v>
      </c>
      <c r="Q349" s="2"/>
    </row>
    <row r="350" spans="2:17" x14ac:dyDescent="0.3">
      <c r="B350" s="2">
        <v>-1</v>
      </c>
      <c r="C350" s="2" t="s">
        <v>107</v>
      </c>
      <c r="D350" s="2">
        <v>78</v>
      </c>
      <c r="E350" s="2" t="s">
        <v>30</v>
      </c>
      <c r="F350" s="2" t="s">
        <v>24</v>
      </c>
      <c r="G350" s="2" t="s">
        <v>27</v>
      </c>
      <c r="H350" s="2">
        <v>1.3</v>
      </c>
      <c r="I350" s="2">
        <v>-64.687700000000007</v>
      </c>
      <c r="J350" s="2">
        <v>-5.8297999999999996</v>
      </c>
      <c r="K350" s="2">
        <v>-0.1661</v>
      </c>
      <c r="L350" s="2">
        <v>-4.4000000000000003E-3</v>
      </c>
      <c r="M350" s="2">
        <v>-5.8200000000000002E-2</v>
      </c>
      <c r="N350" s="2">
        <v>0.82230000000000003</v>
      </c>
      <c r="O350" s="2">
        <v>78</v>
      </c>
      <c r="P350" s="2">
        <v>1.3</v>
      </c>
      <c r="Q350" s="2"/>
    </row>
    <row r="351" spans="2:17" x14ac:dyDescent="0.3">
      <c r="B351" s="2">
        <v>-1</v>
      </c>
      <c r="C351" s="2" t="s">
        <v>107</v>
      </c>
      <c r="D351" s="2">
        <v>78</v>
      </c>
      <c r="E351" s="2" t="s">
        <v>30</v>
      </c>
      <c r="F351" s="2" t="s">
        <v>24</v>
      </c>
      <c r="G351" s="2" t="s">
        <v>27</v>
      </c>
      <c r="H351" s="2">
        <v>2.6</v>
      </c>
      <c r="I351" s="2">
        <v>-64.102699999999999</v>
      </c>
      <c r="J351" s="2">
        <v>-5.8297999999999996</v>
      </c>
      <c r="K351" s="2">
        <v>-0.1661</v>
      </c>
      <c r="L351" s="2">
        <v>-4.4000000000000003E-3</v>
      </c>
      <c r="M351" s="2">
        <v>-0.3705</v>
      </c>
      <c r="N351" s="2">
        <v>3.0045000000000002</v>
      </c>
      <c r="O351" s="2">
        <v>78</v>
      </c>
      <c r="P351" s="2">
        <v>2.6</v>
      </c>
      <c r="Q351" s="2"/>
    </row>
    <row r="352" spans="2:17" x14ac:dyDescent="0.3">
      <c r="B352" s="2">
        <v>-1</v>
      </c>
      <c r="C352" s="2" t="s">
        <v>107</v>
      </c>
      <c r="D352" s="2">
        <v>78</v>
      </c>
      <c r="E352" s="2" t="s">
        <v>31</v>
      </c>
      <c r="F352" s="2" t="s">
        <v>24</v>
      </c>
      <c r="G352" s="2" t="s">
        <v>21</v>
      </c>
      <c r="H352" s="2">
        <v>0</v>
      </c>
      <c r="I352" s="2">
        <v>-23.034300000000002</v>
      </c>
      <c r="J352" s="2">
        <v>-1.8711</v>
      </c>
      <c r="K352" s="2">
        <v>0.2177</v>
      </c>
      <c r="L352" s="2">
        <v>1.2999999999999999E-3</v>
      </c>
      <c r="M352" s="2">
        <v>0.27079999999999999</v>
      </c>
      <c r="N352" s="2">
        <v>-1.5172000000000001</v>
      </c>
      <c r="O352" s="2">
        <v>78</v>
      </c>
      <c r="P352" s="2">
        <v>0</v>
      </c>
      <c r="Q352" s="2"/>
    </row>
    <row r="353" spans="2:17" x14ac:dyDescent="0.3">
      <c r="B353" s="2">
        <v>-1</v>
      </c>
      <c r="C353" s="2" t="s">
        <v>107</v>
      </c>
      <c r="D353" s="2">
        <v>78</v>
      </c>
      <c r="E353" s="2" t="s">
        <v>31</v>
      </c>
      <c r="F353" s="2" t="s">
        <v>24</v>
      </c>
      <c r="G353" s="2" t="s">
        <v>21</v>
      </c>
      <c r="H353" s="2">
        <v>1.3</v>
      </c>
      <c r="I353" s="2">
        <v>-22.595500000000001</v>
      </c>
      <c r="J353" s="2">
        <v>-1.8711</v>
      </c>
      <c r="K353" s="2">
        <v>0.2177</v>
      </c>
      <c r="L353" s="2">
        <v>1.2999999999999999E-3</v>
      </c>
      <c r="M353" s="2">
        <v>-1.0800000000000001E-2</v>
      </c>
      <c r="N353" s="2">
        <v>0.92369999999999997</v>
      </c>
      <c r="O353" s="2">
        <v>78</v>
      </c>
      <c r="P353" s="2">
        <v>1.3</v>
      </c>
      <c r="Q353" s="2"/>
    </row>
    <row r="354" spans="2:17" x14ac:dyDescent="0.3">
      <c r="B354" s="2">
        <v>-1</v>
      </c>
      <c r="C354" s="2" t="s">
        <v>107</v>
      </c>
      <c r="D354" s="2">
        <v>78</v>
      </c>
      <c r="E354" s="2" t="s">
        <v>31</v>
      </c>
      <c r="F354" s="2" t="s">
        <v>24</v>
      </c>
      <c r="G354" s="2" t="s">
        <v>21</v>
      </c>
      <c r="H354" s="2">
        <v>2.6</v>
      </c>
      <c r="I354" s="2">
        <v>-22.1568</v>
      </c>
      <c r="J354" s="2">
        <v>-1.8711</v>
      </c>
      <c r="K354" s="2">
        <v>0.2177</v>
      </c>
      <c r="L354" s="2">
        <v>1.2999999999999999E-3</v>
      </c>
      <c r="M354" s="2">
        <v>0.18920000000000001</v>
      </c>
      <c r="N354" s="2">
        <v>3.5265</v>
      </c>
      <c r="O354" s="2">
        <v>78</v>
      </c>
      <c r="P354" s="2">
        <v>2.6</v>
      </c>
      <c r="Q354" s="2"/>
    </row>
    <row r="355" spans="2:17" x14ac:dyDescent="0.3">
      <c r="B355" s="2">
        <v>-1</v>
      </c>
      <c r="C355" s="2" t="s">
        <v>107</v>
      </c>
      <c r="D355" s="2">
        <v>78</v>
      </c>
      <c r="E355" s="2" t="s">
        <v>31</v>
      </c>
      <c r="F355" s="2" t="s">
        <v>24</v>
      </c>
      <c r="G355" s="2" t="s">
        <v>27</v>
      </c>
      <c r="H355" s="2">
        <v>0</v>
      </c>
      <c r="I355" s="2">
        <v>-23.144600000000001</v>
      </c>
      <c r="J355" s="2">
        <v>-2.0205000000000002</v>
      </c>
      <c r="K355" s="2">
        <v>-0.1661</v>
      </c>
      <c r="L355" s="2">
        <v>-8.0000000000000004E-4</v>
      </c>
      <c r="M355" s="2">
        <v>-0.2427</v>
      </c>
      <c r="N355" s="2">
        <v>-1.7287999999999999</v>
      </c>
      <c r="O355" s="2">
        <v>78</v>
      </c>
      <c r="P355" s="2">
        <v>0</v>
      </c>
      <c r="Q355" s="2"/>
    </row>
    <row r="356" spans="2:17" x14ac:dyDescent="0.3">
      <c r="B356" s="2">
        <v>-1</v>
      </c>
      <c r="C356" s="2" t="s">
        <v>107</v>
      </c>
      <c r="D356" s="2">
        <v>78</v>
      </c>
      <c r="E356" s="2" t="s">
        <v>31</v>
      </c>
      <c r="F356" s="2" t="s">
        <v>24</v>
      </c>
      <c r="G356" s="2" t="s">
        <v>27</v>
      </c>
      <c r="H356" s="2">
        <v>1.3</v>
      </c>
      <c r="I356" s="2">
        <v>-22.7059</v>
      </c>
      <c r="J356" s="2">
        <v>-2.0205000000000002</v>
      </c>
      <c r="K356" s="2">
        <v>-0.1661</v>
      </c>
      <c r="L356" s="2">
        <v>-8.0000000000000004E-4</v>
      </c>
      <c r="M356" s="2">
        <v>-2.81E-2</v>
      </c>
      <c r="N356" s="2">
        <v>0.88939999999999997</v>
      </c>
      <c r="O356" s="2">
        <v>78</v>
      </c>
      <c r="P356" s="2">
        <v>1.3</v>
      </c>
      <c r="Q356" s="2"/>
    </row>
    <row r="357" spans="2:17" x14ac:dyDescent="0.3">
      <c r="B357" s="2">
        <v>-1</v>
      </c>
      <c r="C357" s="2" t="s">
        <v>107</v>
      </c>
      <c r="D357" s="2">
        <v>78</v>
      </c>
      <c r="E357" s="2" t="s">
        <v>31</v>
      </c>
      <c r="F357" s="2" t="s">
        <v>24</v>
      </c>
      <c r="G357" s="2" t="s">
        <v>27</v>
      </c>
      <c r="H357" s="2">
        <v>2.6</v>
      </c>
      <c r="I357" s="2">
        <v>-22.267099999999999</v>
      </c>
      <c r="J357" s="2">
        <v>-2.0205000000000002</v>
      </c>
      <c r="K357" s="2">
        <v>-0.1661</v>
      </c>
      <c r="L357" s="2">
        <v>-8.0000000000000004E-4</v>
      </c>
      <c r="M357" s="2">
        <v>-0.29509999999999997</v>
      </c>
      <c r="N357" s="2">
        <v>3.3456000000000001</v>
      </c>
      <c r="O357" s="2">
        <v>78</v>
      </c>
      <c r="P357" s="2">
        <v>2.6</v>
      </c>
      <c r="Q357" s="2"/>
    </row>
    <row r="358" spans="2:17" x14ac:dyDescent="0.3">
      <c r="B358" s="2">
        <v>-1</v>
      </c>
      <c r="C358" s="2" t="s">
        <v>107</v>
      </c>
      <c r="D358" s="2">
        <v>78</v>
      </c>
      <c r="E358" s="2" t="s">
        <v>32</v>
      </c>
      <c r="F358" s="2" t="s">
        <v>24</v>
      </c>
      <c r="G358" s="2"/>
      <c r="H358" s="2">
        <v>0</v>
      </c>
      <c r="I358" s="2">
        <v>-47.209200000000003</v>
      </c>
      <c r="J358" s="2">
        <v>-4.1840999999999999</v>
      </c>
      <c r="K358" s="2">
        <v>5.7500000000000002E-2</v>
      </c>
      <c r="L358" s="2">
        <v>8.0000000000000004E-4</v>
      </c>
      <c r="M358" s="2">
        <v>3.3000000000000002E-2</v>
      </c>
      <c r="N358" s="2">
        <v>-3.4916999999999998</v>
      </c>
      <c r="O358" s="2">
        <v>78</v>
      </c>
      <c r="P358" s="2">
        <v>0</v>
      </c>
      <c r="Q358" s="2"/>
    </row>
    <row r="359" spans="2:17" x14ac:dyDescent="0.3">
      <c r="B359" s="2">
        <v>-1</v>
      </c>
      <c r="C359" s="2" t="s">
        <v>107</v>
      </c>
      <c r="D359" s="2">
        <v>78</v>
      </c>
      <c r="E359" s="2" t="s">
        <v>32</v>
      </c>
      <c r="F359" s="2" t="s">
        <v>24</v>
      </c>
      <c r="G359" s="2"/>
      <c r="H359" s="2">
        <v>1.3</v>
      </c>
      <c r="I359" s="2">
        <v>-46.721699999999998</v>
      </c>
      <c r="J359" s="2">
        <v>-4.1840999999999999</v>
      </c>
      <c r="K359" s="2">
        <v>5.7500000000000002E-2</v>
      </c>
      <c r="L359" s="2">
        <v>8.0000000000000004E-4</v>
      </c>
      <c r="M359" s="2">
        <v>-4.1799999999999997E-2</v>
      </c>
      <c r="N359" s="2">
        <v>1.9477</v>
      </c>
      <c r="O359" s="2">
        <v>78</v>
      </c>
      <c r="P359" s="2">
        <v>1.3</v>
      </c>
      <c r="Q359" s="2"/>
    </row>
    <row r="360" spans="2:17" x14ac:dyDescent="0.3">
      <c r="B360" s="2">
        <v>-1</v>
      </c>
      <c r="C360" s="2" t="s">
        <v>107</v>
      </c>
      <c r="D360" s="2">
        <v>78</v>
      </c>
      <c r="E360" s="2" t="s">
        <v>32</v>
      </c>
      <c r="F360" s="2" t="s">
        <v>24</v>
      </c>
      <c r="G360" s="2"/>
      <c r="H360" s="2">
        <v>2.6</v>
      </c>
      <c r="I360" s="2">
        <v>-46.234200000000001</v>
      </c>
      <c r="J360" s="2">
        <v>-4.1840999999999999</v>
      </c>
      <c r="K360" s="2">
        <v>5.7500000000000002E-2</v>
      </c>
      <c r="L360" s="2">
        <v>8.0000000000000004E-4</v>
      </c>
      <c r="M360" s="2">
        <v>-0.1166</v>
      </c>
      <c r="N360" s="2">
        <v>7.3871000000000002</v>
      </c>
      <c r="O360" s="2">
        <v>78</v>
      </c>
      <c r="P360" s="2">
        <v>2.6</v>
      </c>
      <c r="Q360" s="2"/>
    </row>
    <row r="361" spans="2:17" x14ac:dyDescent="0.3">
      <c r="B361" s="2">
        <v>-1</v>
      </c>
      <c r="C361" s="2" t="s">
        <v>108</v>
      </c>
      <c r="D361" s="2">
        <v>82</v>
      </c>
      <c r="E361" s="2" t="s">
        <v>14</v>
      </c>
      <c r="F361" s="2" t="s">
        <v>15</v>
      </c>
      <c r="G361" s="2"/>
      <c r="H361" s="2">
        <v>0</v>
      </c>
      <c r="I361" s="2">
        <v>-25.021000000000001</v>
      </c>
      <c r="J361" s="2">
        <v>-2.7568000000000001</v>
      </c>
      <c r="K361" s="2">
        <v>-0.27010000000000001</v>
      </c>
      <c r="L361" s="2">
        <v>2.9999999999999997E-4</v>
      </c>
      <c r="M361" s="2">
        <v>-0.23830000000000001</v>
      </c>
      <c r="N361" s="2">
        <v>-2.2881</v>
      </c>
      <c r="O361" s="2">
        <v>82</v>
      </c>
      <c r="P361" s="2">
        <v>0</v>
      </c>
      <c r="Q361" s="2"/>
    </row>
    <row r="362" spans="2:17" x14ac:dyDescent="0.3">
      <c r="B362" s="2">
        <v>-1</v>
      </c>
      <c r="C362" s="2" t="s">
        <v>108</v>
      </c>
      <c r="D362" s="2">
        <v>82</v>
      </c>
      <c r="E362" s="2" t="s">
        <v>14</v>
      </c>
      <c r="F362" s="2" t="s">
        <v>15</v>
      </c>
      <c r="G362" s="2"/>
      <c r="H362" s="2">
        <v>1.3</v>
      </c>
      <c r="I362" s="2">
        <v>-24.5335</v>
      </c>
      <c r="J362" s="2">
        <v>-2.7568000000000001</v>
      </c>
      <c r="K362" s="2">
        <v>-0.27010000000000001</v>
      </c>
      <c r="L362" s="2">
        <v>2.9999999999999997E-4</v>
      </c>
      <c r="M362" s="2">
        <v>0.1128</v>
      </c>
      <c r="N362" s="2">
        <v>1.2958000000000001</v>
      </c>
      <c r="O362" s="2">
        <v>82</v>
      </c>
      <c r="P362" s="2">
        <v>1.3</v>
      </c>
      <c r="Q362" s="2"/>
    </row>
    <row r="363" spans="2:17" x14ac:dyDescent="0.3">
      <c r="B363" s="2">
        <v>-1</v>
      </c>
      <c r="C363" s="2" t="s">
        <v>108</v>
      </c>
      <c r="D363" s="2">
        <v>82</v>
      </c>
      <c r="E363" s="2" t="s">
        <v>14</v>
      </c>
      <c r="F363" s="2" t="s">
        <v>15</v>
      </c>
      <c r="G363" s="2"/>
      <c r="H363" s="2">
        <v>2.6</v>
      </c>
      <c r="I363" s="2">
        <v>-24.045999999999999</v>
      </c>
      <c r="J363" s="2">
        <v>-2.7568000000000001</v>
      </c>
      <c r="K363" s="2">
        <v>-0.27010000000000001</v>
      </c>
      <c r="L363" s="2">
        <v>2.9999999999999997E-4</v>
      </c>
      <c r="M363" s="2">
        <v>0.46400000000000002</v>
      </c>
      <c r="N363" s="2">
        <v>4.8795999999999999</v>
      </c>
      <c r="O363" s="2">
        <v>82</v>
      </c>
      <c r="P363" s="2">
        <v>2.6</v>
      </c>
      <c r="Q363" s="2"/>
    </row>
    <row r="364" spans="2:17" x14ac:dyDescent="0.3">
      <c r="B364" s="2">
        <v>-1</v>
      </c>
      <c r="C364" s="2" t="s">
        <v>108</v>
      </c>
      <c r="D364" s="2">
        <v>82</v>
      </c>
      <c r="E364" s="2" t="s">
        <v>18</v>
      </c>
      <c r="F364" s="2" t="s">
        <v>15</v>
      </c>
      <c r="G364" s="2"/>
      <c r="H364" s="2">
        <v>0</v>
      </c>
      <c r="I364" s="2">
        <v>-20.985199999999999</v>
      </c>
      <c r="J364" s="2">
        <v>-2.5676000000000001</v>
      </c>
      <c r="K364" s="2">
        <v>-0.24809999999999999</v>
      </c>
      <c r="L364" s="2">
        <v>5.0000000000000001E-4</v>
      </c>
      <c r="M364" s="2">
        <v>-0.21809999999999999</v>
      </c>
      <c r="N364" s="2">
        <v>-2.1303999999999998</v>
      </c>
      <c r="O364" s="2">
        <v>82</v>
      </c>
      <c r="P364" s="2">
        <v>0</v>
      </c>
      <c r="Q364" s="2"/>
    </row>
    <row r="365" spans="2:17" x14ac:dyDescent="0.3">
      <c r="B365" s="2">
        <v>-1</v>
      </c>
      <c r="C365" s="2" t="s">
        <v>108</v>
      </c>
      <c r="D365" s="2">
        <v>82</v>
      </c>
      <c r="E365" s="2" t="s">
        <v>18</v>
      </c>
      <c r="F365" s="2" t="s">
        <v>15</v>
      </c>
      <c r="G365" s="2"/>
      <c r="H365" s="2">
        <v>1.3</v>
      </c>
      <c r="I365" s="2">
        <v>-20.985199999999999</v>
      </c>
      <c r="J365" s="2">
        <v>-2.5676000000000001</v>
      </c>
      <c r="K365" s="2">
        <v>-0.24809999999999999</v>
      </c>
      <c r="L365" s="2">
        <v>5.0000000000000001E-4</v>
      </c>
      <c r="M365" s="2">
        <v>0.10440000000000001</v>
      </c>
      <c r="N365" s="2">
        <v>1.2075</v>
      </c>
      <c r="O365" s="2">
        <v>82</v>
      </c>
      <c r="P365" s="2">
        <v>1.3</v>
      </c>
      <c r="Q365" s="2"/>
    </row>
    <row r="366" spans="2:17" x14ac:dyDescent="0.3">
      <c r="B366" s="2">
        <v>-1</v>
      </c>
      <c r="C366" s="2" t="s">
        <v>108</v>
      </c>
      <c r="D366" s="2">
        <v>82</v>
      </c>
      <c r="E366" s="2" t="s">
        <v>18</v>
      </c>
      <c r="F366" s="2" t="s">
        <v>15</v>
      </c>
      <c r="G366" s="2"/>
      <c r="H366" s="2">
        <v>2.6</v>
      </c>
      <c r="I366" s="2">
        <v>-20.985199999999999</v>
      </c>
      <c r="J366" s="2">
        <v>-2.5676000000000001</v>
      </c>
      <c r="K366" s="2">
        <v>-0.24809999999999999</v>
      </c>
      <c r="L366" s="2">
        <v>5.0000000000000001E-4</v>
      </c>
      <c r="M366" s="2">
        <v>0.42699999999999999</v>
      </c>
      <c r="N366" s="2">
        <v>4.5453000000000001</v>
      </c>
      <c r="O366" s="2">
        <v>82</v>
      </c>
      <c r="P366" s="2">
        <v>2.6</v>
      </c>
      <c r="Q366" s="2"/>
    </row>
    <row r="367" spans="2:17" x14ac:dyDescent="0.3">
      <c r="B367" s="2">
        <v>-1</v>
      </c>
      <c r="C367" s="2" t="s">
        <v>108</v>
      </c>
      <c r="D367" s="2">
        <v>82</v>
      </c>
      <c r="E367" s="2" t="s">
        <v>19</v>
      </c>
      <c r="F367" s="2" t="s">
        <v>20</v>
      </c>
      <c r="G367" s="2" t="s">
        <v>21</v>
      </c>
      <c r="H367" s="2">
        <v>0</v>
      </c>
      <c r="I367" s="2">
        <v>5.8500000000000003E-2</v>
      </c>
      <c r="J367" s="2">
        <v>0.31140000000000001</v>
      </c>
      <c r="K367" s="2">
        <v>1.0800000000000001E-2</v>
      </c>
      <c r="L367" s="2">
        <v>3.3E-3</v>
      </c>
      <c r="M367" s="2">
        <v>1.2699999999999999E-2</v>
      </c>
      <c r="N367" s="2">
        <v>0.47839999999999999</v>
      </c>
      <c r="O367" s="2">
        <v>82</v>
      </c>
      <c r="P367" s="2">
        <v>0</v>
      </c>
      <c r="Q367" s="2"/>
    </row>
    <row r="368" spans="2:17" x14ac:dyDescent="0.3">
      <c r="B368" s="2">
        <v>-1</v>
      </c>
      <c r="C368" s="2" t="s">
        <v>108</v>
      </c>
      <c r="D368" s="2">
        <v>82</v>
      </c>
      <c r="E368" s="2" t="s">
        <v>19</v>
      </c>
      <c r="F368" s="2" t="s">
        <v>20</v>
      </c>
      <c r="G368" s="2" t="s">
        <v>21</v>
      </c>
      <c r="H368" s="2">
        <v>1.3</v>
      </c>
      <c r="I368" s="2">
        <v>5.8500000000000003E-2</v>
      </c>
      <c r="J368" s="2">
        <v>0.31140000000000001</v>
      </c>
      <c r="K368" s="2">
        <v>1.0800000000000001E-2</v>
      </c>
      <c r="L368" s="2">
        <v>3.3E-3</v>
      </c>
      <c r="M368" s="2">
        <v>7.6E-3</v>
      </c>
      <c r="N368" s="2">
        <v>7.3599999999999999E-2</v>
      </c>
      <c r="O368" s="2">
        <v>82</v>
      </c>
      <c r="P368" s="2">
        <v>1.3</v>
      </c>
      <c r="Q368" s="2"/>
    </row>
    <row r="369" spans="2:17" x14ac:dyDescent="0.3">
      <c r="B369" s="2">
        <v>-1</v>
      </c>
      <c r="C369" s="2" t="s">
        <v>108</v>
      </c>
      <c r="D369" s="2">
        <v>82</v>
      </c>
      <c r="E369" s="2" t="s">
        <v>19</v>
      </c>
      <c r="F369" s="2" t="s">
        <v>20</v>
      </c>
      <c r="G369" s="2" t="s">
        <v>21</v>
      </c>
      <c r="H369" s="2">
        <v>2.6</v>
      </c>
      <c r="I369" s="2">
        <v>5.8500000000000003E-2</v>
      </c>
      <c r="J369" s="2">
        <v>0.31140000000000001</v>
      </c>
      <c r="K369" s="2">
        <v>1.0800000000000001E-2</v>
      </c>
      <c r="L369" s="2">
        <v>3.3E-3</v>
      </c>
      <c r="M369" s="2">
        <v>1.8200000000000001E-2</v>
      </c>
      <c r="N369" s="2">
        <v>0.33119999999999999</v>
      </c>
      <c r="O369" s="2">
        <v>82</v>
      </c>
      <c r="P369" s="2">
        <v>2.6</v>
      </c>
      <c r="Q369" s="2"/>
    </row>
    <row r="370" spans="2:17" x14ac:dyDescent="0.3">
      <c r="B370" s="2">
        <v>-1</v>
      </c>
      <c r="C370" s="2" t="s">
        <v>108</v>
      </c>
      <c r="D370" s="2">
        <v>82</v>
      </c>
      <c r="E370" s="2" t="s">
        <v>22</v>
      </c>
      <c r="F370" s="2" t="s">
        <v>20</v>
      </c>
      <c r="G370" s="2" t="s">
        <v>21</v>
      </c>
      <c r="H370" s="2">
        <v>0</v>
      </c>
      <c r="I370" s="2">
        <v>0.15</v>
      </c>
      <c r="J370" s="2">
        <v>3.9E-2</v>
      </c>
      <c r="K370" s="2">
        <v>0.10290000000000001</v>
      </c>
      <c r="L370" s="2">
        <v>6.9999999999999999E-4</v>
      </c>
      <c r="M370" s="2">
        <v>0.15429999999999999</v>
      </c>
      <c r="N370" s="2">
        <v>5.9200000000000003E-2</v>
      </c>
      <c r="O370" s="2">
        <v>82</v>
      </c>
      <c r="P370" s="2">
        <v>0</v>
      </c>
      <c r="Q370" s="2"/>
    </row>
    <row r="371" spans="2:17" x14ac:dyDescent="0.3">
      <c r="B371" s="2">
        <v>-1</v>
      </c>
      <c r="C371" s="2" t="s">
        <v>108</v>
      </c>
      <c r="D371" s="2">
        <v>82</v>
      </c>
      <c r="E371" s="2" t="s">
        <v>22</v>
      </c>
      <c r="F371" s="2" t="s">
        <v>20</v>
      </c>
      <c r="G371" s="2" t="s">
        <v>21</v>
      </c>
      <c r="H371" s="2">
        <v>1.3</v>
      </c>
      <c r="I371" s="2">
        <v>0.15</v>
      </c>
      <c r="J371" s="2">
        <v>3.9E-2</v>
      </c>
      <c r="K371" s="2">
        <v>0.10290000000000001</v>
      </c>
      <c r="L371" s="2">
        <v>6.9999999999999999E-4</v>
      </c>
      <c r="M371" s="2">
        <v>2.2100000000000002E-2</v>
      </c>
      <c r="N371" s="2">
        <v>1.0800000000000001E-2</v>
      </c>
      <c r="O371" s="2">
        <v>82</v>
      </c>
      <c r="P371" s="2">
        <v>1.3</v>
      </c>
      <c r="Q371" s="2"/>
    </row>
    <row r="372" spans="2:17" x14ac:dyDescent="0.3">
      <c r="B372" s="2">
        <v>-1</v>
      </c>
      <c r="C372" s="2" t="s">
        <v>108</v>
      </c>
      <c r="D372" s="2">
        <v>82</v>
      </c>
      <c r="E372" s="2" t="s">
        <v>22</v>
      </c>
      <c r="F372" s="2" t="s">
        <v>20</v>
      </c>
      <c r="G372" s="2" t="s">
        <v>21</v>
      </c>
      <c r="H372" s="2">
        <v>2.6</v>
      </c>
      <c r="I372" s="2">
        <v>0.15</v>
      </c>
      <c r="J372" s="2">
        <v>3.9E-2</v>
      </c>
      <c r="K372" s="2">
        <v>0.10290000000000001</v>
      </c>
      <c r="L372" s="2">
        <v>6.9999999999999999E-4</v>
      </c>
      <c r="M372" s="2">
        <v>0.1134</v>
      </c>
      <c r="N372" s="2">
        <v>4.3200000000000002E-2</v>
      </c>
      <c r="O372" s="2">
        <v>82</v>
      </c>
      <c r="P372" s="2">
        <v>2.6</v>
      </c>
      <c r="Q372" s="2"/>
    </row>
    <row r="373" spans="2:17" x14ac:dyDescent="0.3">
      <c r="B373" s="2">
        <v>-1</v>
      </c>
      <c r="C373" s="2" t="s">
        <v>108</v>
      </c>
      <c r="D373" s="2">
        <v>82</v>
      </c>
      <c r="E373" s="2" t="s">
        <v>23</v>
      </c>
      <c r="F373" s="2" t="s">
        <v>24</v>
      </c>
      <c r="G373" s="2"/>
      <c r="H373" s="2">
        <v>0</v>
      </c>
      <c r="I373" s="2">
        <v>-35.029400000000003</v>
      </c>
      <c r="J373" s="2">
        <v>-3.8595999999999999</v>
      </c>
      <c r="K373" s="2">
        <v>-0.37809999999999999</v>
      </c>
      <c r="L373" s="2">
        <v>4.0000000000000002E-4</v>
      </c>
      <c r="M373" s="2">
        <v>-0.3337</v>
      </c>
      <c r="N373" s="2">
        <v>-3.2033999999999998</v>
      </c>
      <c r="O373" s="2">
        <v>82</v>
      </c>
      <c r="P373" s="2">
        <v>0</v>
      </c>
      <c r="Q373" s="2"/>
    </row>
    <row r="374" spans="2:17" x14ac:dyDescent="0.3">
      <c r="B374" s="2">
        <v>-1</v>
      </c>
      <c r="C374" s="2" t="s">
        <v>108</v>
      </c>
      <c r="D374" s="2">
        <v>82</v>
      </c>
      <c r="E374" s="2" t="s">
        <v>23</v>
      </c>
      <c r="F374" s="2" t="s">
        <v>24</v>
      </c>
      <c r="G374" s="2"/>
      <c r="H374" s="2">
        <v>1.3</v>
      </c>
      <c r="I374" s="2">
        <v>-34.346899999999998</v>
      </c>
      <c r="J374" s="2">
        <v>-3.8595999999999999</v>
      </c>
      <c r="K374" s="2">
        <v>-0.37809999999999999</v>
      </c>
      <c r="L374" s="2">
        <v>4.0000000000000002E-4</v>
      </c>
      <c r="M374" s="2">
        <v>0.15790000000000001</v>
      </c>
      <c r="N374" s="2">
        <v>1.8141</v>
      </c>
      <c r="O374" s="2">
        <v>82</v>
      </c>
      <c r="P374" s="2">
        <v>1.3</v>
      </c>
      <c r="Q374" s="2"/>
    </row>
    <row r="375" spans="2:17" x14ac:dyDescent="0.3">
      <c r="B375" s="2">
        <v>-1</v>
      </c>
      <c r="C375" s="2" t="s">
        <v>108</v>
      </c>
      <c r="D375" s="2">
        <v>82</v>
      </c>
      <c r="E375" s="2" t="s">
        <v>23</v>
      </c>
      <c r="F375" s="2" t="s">
        <v>24</v>
      </c>
      <c r="G375" s="2"/>
      <c r="H375" s="2">
        <v>2.6</v>
      </c>
      <c r="I375" s="2">
        <v>-33.664400000000001</v>
      </c>
      <c r="J375" s="2">
        <v>-3.8595999999999999</v>
      </c>
      <c r="K375" s="2">
        <v>-0.37809999999999999</v>
      </c>
      <c r="L375" s="2">
        <v>4.0000000000000002E-4</v>
      </c>
      <c r="M375" s="2">
        <v>0.64949999999999997</v>
      </c>
      <c r="N375" s="2">
        <v>6.8315000000000001</v>
      </c>
      <c r="O375" s="2">
        <v>82</v>
      </c>
      <c r="P375" s="2">
        <v>2.6</v>
      </c>
      <c r="Q375" s="2"/>
    </row>
    <row r="376" spans="2:17" x14ac:dyDescent="0.3">
      <c r="B376" s="2">
        <v>-1</v>
      </c>
      <c r="C376" s="2" t="s">
        <v>108</v>
      </c>
      <c r="D376" s="2">
        <v>82</v>
      </c>
      <c r="E376" s="2" t="s">
        <v>25</v>
      </c>
      <c r="F376" s="2" t="s">
        <v>24</v>
      </c>
      <c r="G376" s="2"/>
      <c r="H376" s="2">
        <v>0</v>
      </c>
      <c r="I376" s="2">
        <v>-63.601599999999998</v>
      </c>
      <c r="J376" s="2">
        <v>-7.4164000000000003</v>
      </c>
      <c r="K376" s="2">
        <v>-0.72109999999999996</v>
      </c>
      <c r="L376" s="2">
        <v>1.1000000000000001E-3</v>
      </c>
      <c r="M376" s="2">
        <v>-0.63500000000000001</v>
      </c>
      <c r="N376" s="2">
        <v>-6.1543999999999999</v>
      </c>
      <c r="O376" s="2">
        <v>82</v>
      </c>
      <c r="P376" s="2">
        <v>0</v>
      </c>
      <c r="Q376" s="2"/>
    </row>
    <row r="377" spans="2:17" x14ac:dyDescent="0.3">
      <c r="B377" s="2">
        <v>-1</v>
      </c>
      <c r="C377" s="2" t="s">
        <v>108</v>
      </c>
      <c r="D377" s="2">
        <v>82</v>
      </c>
      <c r="E377" s="2" t="s">
        <v>25</v>
      </c>
      <c r="F377" s="2" t="s">
        <v>24</v>
      </c>
      <c r="G377" s="2"/>
      <c r="H377" s="2">
        <v>1.3</v>
      </c>
      <c r="I377" s="2">
        <v>-63.016599999999997</v>
      </c>
      <c r="J377" s="2">
        <v>-7.4164000000000003</v>
      </c>
      <c r="K377" s="2">
        <v>-0.72109999999999996</v>
      </c>
      <c r="L377" s="2">
        <v>1.1000000000000001E-3</v>
      </c>
      <c r="M377" s="2">
        <v>0.30249999999999999</v>
      </c>
      <c r="N377" s="2">
        <v>3.4868000000000001</v>
      </c>
      <c r="O377" s="2">
        <v>82</v>
      </c>
      <c r="P377" s="2">
        <v>1.3</v>
      </c>
      <c r="Q377" s="2"/>
    </row>
    <row r="378" spans="2:17" x14ac:dyDescent="0.3">
      <c r="B378" s="2">
        <v>-1</v>
      </c>
      <c r="C378" s="2" t="s">
        <v>108</v>
      </c>
      <c r="D378" s="2">
        <v>82</v>
      </c>
      <c r="E378" s="2" t="s">
        <v>25</v>
      </c>
      <c r="F378" s="2" t="s">
        <v>24</v>
      </c>
      <c r="G378" s="2"/>
      <c r="H378" s="2">
        <v>2.6</v>
      </c>
      <c r="I378" s="2">
        <v>-62.431600000000003</v>
      </c>
      <c r="J378" s="2">
        <v>-7.4164000000000003</v>
      </c>
      <c r="K378" s="2">
        <v>-0.72109999999999996</v>
      </c>
      <c r="L378" s="2">
        <v>1.1000000000000001E-3</v>
      </c>
      <c r="M378" s="2">
        <v>1.2399</v>
      </c>
      <c r="N378" s="2">
        <v>13.1281</v>
      </c>
      <c r="O378" s="2">
        <v>82</v>
      </c>
      <c r="P378" s="2">
        <v>2.6</v>
      </c>
      <c r="Q378" s="2"/>
    </row>
    <row r="379" spans="2:17" x14ac:dyDescent="0.3">
      <c r="B379" s="2">
        <v>-1</v>
      </c>
      <c r="C379" s="2" t="s">
        <v>108</v>
      </c>
      <c r="D379" s="2">
        <v>82</v>
      </c>
      <c r="E379" s="2" t="s">
        <v>26</v>
      </c>
      <c r="F379" s="2" t="s">
        <v>24</v>
      </c>
      <c r="G379" s="2" t="s">
        <v>21</v>
      </c>
      <c r="H379" s="2">
        <v>0</v>
      </c>
      <c r="I379" s="2">
        <v>-22.437000000000001</v>
      </c>
      <c r="J379" s="2">
        <v>-2.0451999999999999</v>
      </c>
      <c r="K379" s="2">
        <v>-0.22800000000000001</v>
      </c>
      <c r="L379" s="2">
        <v>4.8999999999999998E-3</v>
      </c>
      <c r="M379" s="2">
        <v>-0.19670000000000001</v>
      </c>
      <c r="N379" s="2">
        <v>-1.3895999999999999</v>
      </c>
      <c r="O379" s="2">
        <v>82</v>
      </c>
      <c r="P379" s="2">
        <v>0</v>
      </c>
      <c r="Q379" s="2"/>
    </row>
    <row r="380" spans="2:17" x14ac:dyDescent="0.3">
      <c r="B380" s="2">
        <v>-1</v>
      </c>
      <c r="C380" s="2" t="s">
        <v>108</v>
      </c>
      <c r="D380" s="2">
        <v>82</v>
      </c>
      <c r="E380" s="2" t="s">
        <v>26</v>
      </c>
      <c r="F380" s="2" t="s">
        <v>24</v>
      </c>
      <c r="G380" s="2" t="s">
        <v>21</v>
      </c>
      <c r="H380" s="2">
        <v>1.3</v>
      </c>
      <c r="I380" s="2">
        <v>-21.9983</v>
      </c>
      <c r="J380" s="2">
        <v>-2.0451999999999999</v>
      </c>
      <c r="K380" s="2">
        <v>-0.22800000000000001</v>
      </c>
      <c r="L380" s="2">
        <v>4.8999999999999998E-3</v>
      </c>
      <c r="M380" s="2">
        <v>0.11210000000000001</v>
      </c>
      <c r="N380" s="2">
        <v>1.2692000000000001</v>
      </c>
      <c r="O380" s="2">
        <v>82</v>
      </c>
      <c r="P380" s="2">
        <v>1.3</v>
      </c>
      <c r="Q380" s="2"/>
    </row>
    <row r="381" spans="2:17" x14ac:dyDescent="0.3">
      <c r="B381" s="2">
        <v>-1</v>
      </c>
      <c r="C381" s="2" t="s">
        <v>108</v>
      </c>
      <c r="D381" s="2">
        <v>82</v>
      </c>
      <c r="E381" s="2" t="s">
        <v>26</v>
      </c>
      <c r="F381" s="2" t="s">
        <v>24</v>
      </c>
      <c r="G381" s="2" t="s">
        <v>21</v>
      </c>
      <c r="H381" s="2">
        <v>2.6</v>
      </c>
      <c r="I381" s="2">
        <v>-21.5595</v>
      </c>
      <c r="J381" s="2">
        <v>-2.0451999999999999</v>
      </c>
      <c r="K381" s="2">
        <v>-0.22800000000000001</v>
      </c>
      <c r="L381" s="2">
        <v>4.8999999999999998E-3</v>
      </c>
      <c r="M381" s="2">
        <v>0.443</v>
      </c>
      <c r="N381" s="2">
        <v>4.8554000000000004</v>
      </c>
      <c r="O381" s="2">
        <v>82</v>
      </c>
      <c r="P381" s="2">
        <v>2.6</v>
      </c>
      <c r="Q381" s="2"/>
    </row>
    <row r="382" spans="2:17" x14ac:dyDescent="0.3">
      <c r="B382" s="2">
        <v>-1</v>
      </c>
      <c r="C382" s="2" t="s">
        <v>108</v>
      </c>
      <c r="D382" s="2">
        <v>82</v>
      </c>
      <c r="E382" s="2" t="s">
        <v>26</v>
      </c>
      <c r="F382" s="2" t="s">
        <v>24</v>
      </c>
      <c r="G382" s="2" t="s">
        <v>27</v>
      </c>
      <c r="H382" s="2">
        <v>0</v>
      </c>
      <c r="I382" s="2">
        <v>-22.6008</v>
      </c>
      <c r="J382" s="2">
        <v>-2.9171</v>
      </c>
      <c r="K382" s="2">
        <v>-0.25819999999999999</v>
      </c>
      <c r="L382" s="2">
        <v>-4.4000000000000003E-3</v>
      </c>
      <c r="M382" s="2">
        <v>-0.23230000000000001</v>
      </c>
      <c r="N382" s="2">
        <v>-2.7290000000000001</v>
      </c>
      <c r="O382" s="2">
        <v>82</v>
      </c>
      <c r="P382" s="2">
        <v>0</v>
      </c>
      <c r="Q382" s="2"/>
    </row>
    <row r="383" spans="2:17" x14ac:dyDescent="0.3">
      <c r="B383" s="2">
        <v>-1</v>
      </c>
      <c r="C383" s="2" t="s">
        <v>108</v>
      </c>
      <c r="D383" s="2">
        <v>82</v>
      </c>
      <c r="E383" s="2" t="s">
        <v>26</v>
      </c>
      <c r="F383" s="2" t="s">
        <v>24</v>
      </c>
      <c r="G383" s="2" t="s">
        <v>27</v>
      </c>
      <c r="H383" s="2">
        <v>1.3</v>
      </c>
      <c r="I383" s="2">
        <v>-22.161999999999999</v>
      </c>
      <c r="J383" s="2">
        <v>-2.9171</v>
      </c>
      <c r="K383" s="2">
        <v>-0.25819999999999999</v>
      </c>
      <c r="L383" s="2">
        <v>-4.4000000000000003E-3</v>
      </c>
      <c r="M383" s="2">
        <v>9.0999999999999998E-2</v>
      </c>
      <c r="N383" s="2">
        <v>1.0631999999999999</v>
      </c>
      <c r="O383" s="2">
        <v>82</v>
      </c>
      <c r="P383" s="2">
        <v>1.3</v>
      </c>
      <c r="Q383" s="2"/>
    </row>
    <row r="384" spans="2:17" x14ac:dyDescent="0.3">
      <c r="B384" s="2">
        <v>-1</v>
      </c>
      <c r="C384" s="2" t="s">
        <v>108</v>
      </c>
      <c r="D384" s="2">
        <v>82</v>
      </c>
      <c r="E384" s="2" t="s">
        <v>26</v>
      </c>
      <c r="F384" s="2" t="s">
        <v>24</v>
      </c>
      <c r="G384" s="2" t="s">
        <v>27</v>
      </c>
      <c r="H384" s="2">
        <v>2.6</v>
      </c>
      <c r="I384" s="2">
        <v>-21.723299999999998</v>
      </c>
      <c r="J384" s="2">
        <v>-2.9171</v>
      </c>
      <c r="K384" s="2">
        <v>-0.25819999999999999</v>
      </c>
      <c r="L384" s="2">
        <v>-4.4000000000000003E-3</v>
      </c>
      <c r="M384" s="2">
        <v>0.3921</v>
      </c>
      <c r="N384" s="2">
        <v>3.9279999999999999</v>
      </c>
      <c r="O384" s="2">
        <v>82</v>
      </c>
      <c r="P384" s="2">
        <v>2.6</v>
      </c>
      <c r="Q384" s="2"/>
    </row>
    <row r="385" spans="2:17" x14ac:dyDescent="0.3">
      <c r="B385" s="2">
        <v>-1</v>
      </c>
      <c r="C385" s="2" t="s">
        <v>108</v>
      </c>
      <c r="D385" s="2">
        <v>82</v>
      </c>
      <c r="E385" s="2" t="s">
        <v>28</v>
      </c>
      <c r="F385" s="2" t="s">
        <v>24</v>
      </c>
      <c r="G385" s="2" t="s">
        <v>21</v>
      </c>
      <c r="H385" s="2">
        <v>0</v>
      </c>
      <c r="I385" s="2">
        <v>-50.9285</v>
      </c>
      <c r="J385" s="2">
        <v>-5.4398999999999997</v>
      </c>
      <c r="K385" s="2">
        <v>-0.55720000000000003</v>
      </c>
      <c r="L385" s="2">
        <v>5.4000000000000003E-3</v>
      </c>
      <c r="M385" s="2">
        <v>-0.48630000000000001</v>
      </c>
      <c r="N385" s="2">
        <v>-4.2065000000000001</v>
      </c>
      <c r="O385" s="2">
        <v>82</v>
      </c>
      <c r="P385" s="2">
        <v>0</v>
      </c>
      <c r="Q385" s="2"/>
    </row>
    <row r="386" spans="2:17" x14ac:dyDescent="0.3">
      <c r="B386" s="2">
        <v>-1</v>
      </c>
      <c r="C386" s="2" t="s">
        <v>108</v>
      </c>
      <c r="D386" s="2">
        <v>82</v>
      </c>
      <c r="E386" s="2" t="s">
        <v>28</v>
      </c>
      <c r="F386" s="2" t="s">
        <v>24</v>
      </c>
      <c r="G386" s="2" t="s">
        <v>21</v>
      </c>
      <c r="H386" s="2">
        <v>1.3</v>
      </c>
      <c r="I386" s="2">
        <v>-50.343499999999999</v>
      </c>
      <c r="J386" s="2">
        <v>-5.4398999999999997</v>
      </c>
      <c r="K386" s="2">
        <v>-0.55720000000000003</v>
      </c>
      <c r="L386" s="2">
        <v>5.4000000000000003E-3</v>
      </c>
      <c r="M386" s="2">
        <v>0.25040000000000001</v>
      </c>
      <c r="N386" s="2">
        <v>2.8654000000000002</v>
      </c>
      <c r="O386" s="2">
        <v>82</v>
      </c>
      <c r="P386" s="2">
        <v>1.3</v>
      </c>
      <c r="Q386" s="2"/>
    </row>
    <row r="387" spans="2:17" x14ac:dyDescent="0.3">
      <c r="B387" s="2">
        <v>-1</v>
      </c>
      <c r="C387" s="2" t="s">
        <v>108</v>
      </c>
      <c r="D387" s="2">
        <v>82</v>
      </c>
      <c r="E387" s="2" t="s">
        <v>28</v>
      </c>
      <c r="F387" s="2" t="s">
        <v>24</v>
      </c>
      <c r="G387" s="2" t="s">
        <v>21</v>
      </c>
      <c r="H387" s="2">
        <v>2.6</v>
      </c>
      <c r="I387" s="2">
        <v>-49.758499999999998</v>
      </c>
      <c r="J387" s="2">
        <v>-5.4398999999999997</v>
      </c>
      <c r="K387" s="2">
        <v>-0.55720000000000003</v>
      </c>
      <c r="L387" s="2">
        <v>5.4000000000000003E-3</v>
      </c>
      <c r="M387" s="2">
        <v>1.0092000000000001</v>
      </c>
      <c r="N387" s="2">
        <v>10.864599999999999</v>
      </c>
      <c r="O387" s="2">
        <v>82</v>
      </c>
      <c r="P387" s="2">
        <v>2.6</v>
      </c>
      <c r="Q387" s="2"/>
    </row>
    <row r="388" spans="2:17" x14ac:dyDescent="0.3">
      <c r="B388" s="2">
        <v>-1</v>
      </c>
      <c r="C388" s="2" t="s">
        <v>108</v>
      </c>
      <c r="D388" s="2">
        <v>82</v>
      </c>
      <c r="E388" s="2" t="s">
        <v>28</v>
      </c>
      <c r="F388" s="2" t="s">
        <v>24</v>
      </c>
      <c r="G388" s="2" t="s">
        <v>27</v>
      </c>
      <c r="H388" s="2">
        <v>0</v>
      </c>
      <c r="I388" s="2">
        <v>-51.092300000000002</v>
      </c>
      <c r="J388" s="2">
        <v>-6.3117000000000001</v>
      </c>
      <c r="K388" s="2">
        <v>-0.58730000000000004</v>
      </c>
      <c r="L388" s="2">
        <v>-3.8E-3</v>
      </c>
      <c r="M388" s="2">
        <v>-0.52190000000000003</v>
      </c>
      <c r="N388" s="2">
        <v>-5.5458999999999996</v>
      </c>
      <c r="O388" s="2">
        <v>82</v>
      </c>
      <c r="P388" s="2">
        <v>0</v>
      </c>
      <c r="Q388" s="2"/>
    </row>
    <row r="389" spans="2:17" x14ac:dyDescent="0.3">
      <c r="B389" s="2">
        <v>-1</v>
      </c>
      <c r="C389" s="2" t="s">
        <v>108</v>
      </c>
      <c r="D389" s="2">
        <v>82</v>
      </c>
      <c r="E389" s="2" t="s">
        <v>28</v>
      </c>
      <c r="F389" s="2" t="s">
        <v>24</v>
      </c>
      <c r="G389" s="2" t="s">
        <v>27</v>
      </c>
      <c r="H389" s="2">
        <v>1.3</v>
      </c>
      <c r="I389" s="2">
        <v>-50.507300000000001</v>
      </c>
      <c r="J389" s="2">
        <v>-6.3117000000000001</v>
      </c>
      <c r="K389" s="2">
        <v>-0.58730000000000004</v>
      </c>
      <c r="L389" s="2">
        <v>-3.8E-3</v>
      </c>
      <c r="M389" s="2">
        <v>0.22919999999999999</v>
      </c>
      <c r="N389" s="2">
        <v>2.6593</v>
      </c>
      <c r="O389" s="2">
        <v>82</v>
      </c>
      <c r="P389" s="2">
        <v>1.3</v>
      </c>
      <c r="Q389" s="2"/>
    </row>
    <row r="390" spans="2:17" x14ac:dyDescent="0.3">
      <c r="B390" s="2">
        <v>-1</v>
      </c>
      <c r="C390" s="2" t="s">
        <v>108</v>
      </c>
      <c r="D390" s="2">
        <v>82</v>
      </c>
      <c r="E390" s="2" t="s">
        <v>28</v>
      </c>
      <c r="F390" s="2" t="s">
        <v>24</v>
      </c>
      <c r="G390" s="2" t="s">
        <v>27</v>
      </c>
      <c r="H390" s="2">
        <v>2.6</v>
      </c>
      <c r="I390" s="2">
        <v>-49.9223</v>
      </c>
      <c r="J390" s="2">
        <v>-6.3117000000000001</v>
      </c>
      <c r="K390" s="2">
        <v>-0.58730000000000004</v>
      </c>
      <c r="L390" s="2">
        <v>-3.8E-3</v>
      </c>
      <c r="M390" s="2">
        <v>0.95830000000000004</v>
      </c>
      <c r="N390" s="2">
        <v>9.9372000000000007</v>
      </c>
      <c r="O390" s="2">
        <v>82</v>
      </c>
      <c r="P390" s="2">
        <v>2.6</v>
      </c>
      <c r="Q390" s="2"/>
    </row>
    <row r="391" spans="2:17" x14ac:dyDescent="0.3">
      <c r="B391" s="2">
        <v>-1</v>
      </c>
      <c r="C391" s="2" t="s">
        <v>108</v>
      </c>
      <c r="D391" s="2">
        <v>82</v>
      </c>
      <c r="E391" s="2" t="s">
        <v>29</v>
      </c>
      <c r="F391" s="2" t="s">
        <v>24</v>
      </c>
      <c r="G391" s="2" t="s">
        <v>21</v>
      </c>
      <c r="H391" s="2">
        <v>0</v>
      </c>
      <c r="I391" s="2">
        <v>-50.800400000000003</v>
      </c>
      <c r="J391" s="2">
        <v>-5.8212000000000002</v>
      </c>
      <c r="K391" s="2">
        <v>-0.42820000000000003</v>
      </c>
      <c r="L391" s="2">
        <v>1.8E-3</v>
      </c>
      <c r="M391" s="2">
        <v>-0.28810000000000002</v>
      </c>
      <c r="N391" s="2">
        <v>-4.7933000000000003</v>
      </c>
      <c r="O391" s="2">
        <v>82</v>
      </c>
      <c r="P391" s="2">
        <v>0</v>
      </c>
      <c r="Q391" s="2"/>
    </row>
    <row r="392" spans="2:17" x14ac:dyDescent="0.3">
      <c r="B392" s="2">
        <v>-1</v>
      </c>
      <c r="C392" s="2" t="s">
        <v>108</v>
      </c>
      <c r="D392" s="2">
        <v>82</v>
      </c>
      <c r="E392" s="2" t="s">
        <v>29</v>
      </c>
      <c r="F392" s="2" t="s">
        <v>24</v>
      </c>
      <c r="G392" s="2" t="s">
        <v>21</v>
      </c>
      <c r="H392" s="2">
        <v>1.3</v>
      </c>
      <c r="I392" s="2">
        <v>-50.215400000000002</v>
      </c>
      <c r="J392" s="2">
        <v>-5.8212000000000002</v>
      </c>
      <c r="K392" s="2">
        <v>-0.42820000000000003</v>
      </c>
      <c r="L392" s="2">
        <v>1.8E-3</v>
      </c>
      <c r="M392" s="2">
        <v>0.27079999999999999</v>
      </c>
      <c r="N392" s="2">
        <v>2.7774999999999999</v>
      </c>
      <c r="O392" s="2">
        <v>82</v>
      </c>
      <c r="P392" s="2">
        <v>1.3</v>
      </c>
      <c r="Q392" s="2"/>
    </row>
    <row r="393" spans="2:17" x14ac:dyDescent="0.3">
      <c r="B393" s="2">
        <v>-1</v>
      </c>
      <c r="C393" s="2" t="s">
        <v>108</v>
      </c>
      <c r="D393" s="2">
        <v>82</v>
      </c>
      <c r="E393" s="2" t="s">
        <v>29</v>
      </c>
      <c r="F393" s="2" t="s">
        <v>24</v>
      </c>
      <c r="G393" s="2" t="s">
        <v>21</v>
      </c>
      <c r="H393" s="2">
        <v>2.6</v>
      </c>
      <c r="I393" s="2">
        <v>-49.630400000000002</v>
      </c>
      <c r="J393" s="2">
        <v>-5.8212000000000002</v>
      </c>
      <c r="K393" s="2">
        <v>-0.42820000000000003</v>
      </c>
      <c r="L393" s="2">
        <v>1.8E-3</v>
      </c>
      <c r="M393" s="2">
        <v>1.1424000000000001</v>
      </c>
      <c r="N393" s="2">
        <v>10.461399999999999</v>
      </c>
      <c r="O393" s="2">
        <v>82</v>
      </c>
      <c r="P393" s="2">
        <v>2.6</v>
      </c>
      <c r="Q393" s="2"/>
    </row>
    <row r="394" spans="2:17" x14ac:dyDescent="0.3">
      <c r="B394" s="2">
        <v>-1</v>
      </c>
      <c r="C394" s="2" t="s">
        <v>108</v>
      </c>
      <c r="D394" s="2">
        <v>82</v>
      </c>
      <c r="E394" s="2" t="s">
        <v>29</v>
      </c>
      <c r="F394" s="2" t="s">
        <v>24</v>
      </c>
      <c r="G394" s="2" t="s">
        <v>27</v>
      </c>
      <c r="H394" s="2">
        <v>0</v>
      </c>
      <c r="I394" s="2">
        <v>-51.220399999999998</v>
      </c>
      <c r="J394" s="2">
        <v>-5.9303999999999997</v>
      </c>
      <c r="K394" s="2">
        <v>-0.71630000000000005</v>
      </c>
      <c r="L394" s="2">
        <v>-2.0000000000000001E-4</v>
      </c>
      <c r="M394" s="2">
        <v>-0.72009999999999996</v>
      </c>
      <c r="N394" s="2">
        <v>-4.9591000000000003</v>
      </c>
      <c r="O394" s="2">
        <v>82</v>
      </c>
      <c r="P394" s="2">
        <v>0</v>
      </c>
      <c r="Q394" s="2"/>
    </row>
    <row r="395" spans="2:17" x14ac:dyDescent="0.3">
      <c r="B395" s="2">
        <v>-1</v>
      </c>
      <c r="C395" s="2" t="s">
        <v>108</v>
      </c>
      <c r="D395" s="2">
        <v>82</v>
      </c>
      <c r="E395" s="2" t="s">
        <v>29</v>
      </c>
      <c r="F395" s="2" t="s">
        <v>24</v>
      </c>
      <c r="G395" s="2" t="s">
        <v>27</v>
      </c>
      <c r="H395" s="2">
        <v>1.3</v>
      </c>
      <c r="I395" s="2">
        <v>-50.635399999999997</v>
      </c>
      <c r="J395" s="2">
        <v>-5.9303999999999997</v>
      </c>
      <c r="K395" s="2">
        <v>-0.71630000000000005</v>
      </c>
      <c r="L395" s="2">
        <v>-2.0000000000000001E-4</v>
      </c>
      <c r="M395" s="2">
        <v>0.20880000000000001</v>
      </c>
      <c r="N395" s="2">
        <v>2.7473000000000001</v>
      </c>
      <c r="O395" s="2">
        <v>82</v>
      </c>
      <c r="P395" s="2">
        <v>1.3</v>
      </c>
      <c r="Q395" s="2"/>
    </row>
    <row r="396" spans="2:17" x14ac:dyDescent="0.3">
      <c r="B396" s="2">
        <v>-1</v>
      </c>
      <c r="C396" s="2" t="s">
        <v>108</v>
      </c>
      <c r="D396" s="2">
        <v>82</v>
      </c>
      <c r="E396" s="2" t="s">
        <v>29</v>
      </c>
      <c r="F396" s="2" t="s">
        <v>24</v>
      </c>
      <c r="G396" s="2" t="s">
        <v>27</v>
      </c>
      <c r="H396" s="2">
        <v>2.6</v>
      </c>
      <c r="I396" s="2">
        <v>-50.050400000000003</v>
      </c>
      <c r="J396" s="2">
        <v>-5.9303999999999997</v>
      </c>
      <c r="K396" s="2">
        <v>-0.71630000000000005</v>
      </c>
      <c r="L396" s="2">
        <v>-2.0000000000000001E-4</v>
      </c>
      <c r="M396" s="2">
        <v>0.82499999999999996</v>
      </c>
      <c r="N396" s="2">
        <v>10.340400000000001</v>
      </c>
      <c r="O396" s="2">
        <v>82</v>
      </c>
      <c r="P396" s="2">
        <v>2.6</v>
      </c>
      <c r="Q396" s="2"/>
    </row>
    <row r="397" spans="2:17" x14ac:dyDescent="0.3">
      <c r="B397" s="2">
        <v>-1</v>
      </c>
      <c r="C397" s="2" t="s">
        <v>108</v>
      </c>
      <c r="D397" s="2">
        <v>82</v>
      </c>
      <c r="E397" s="2" t="s">
        <v>30</v>
      </c>
      <c r="F397" s="2" t="s">
        <v>24</v>
      </c>
      <c r="G397" s="2" t="s">
        <v>21</v>
      </c>
      <c r="H397" s="2">
        <v>0</v>
      </c>
      <c r="I397" s="2">
        <v>-22.308900000000001</v>
      </c>
      <c r="J397" s="2">
        <v>-2.0451999999999999</v>
      </c>
      <c r="K397" s="2">
        <v>-9.9000000000000005E-2</v>
      </c>
      <c r="L397" s="2">
        <v>5.4000000000000003E-3</v>
      </c>
      <c r="M397" s="2">
        <v>1.5E-3</v>
      </c>
      <c r="N397" s="2">
        <v>-1.3895999999999999</v>
      </c>
      <c r="O397" s="2">
        <v>82</v>
      </c>
      <c r="P397" s="2">
        <v>0</v>
      </c>
      <c r="Q397" s="2"/>
    </row>
    <row r="398" spans="2:17" x14ac:dyDescent="0.3">
      <c r="B398" s="2">
        <v>-1</v>
      </c>
      <c r="C398" s="2" t="s">
        <v>108</v>
      </c>
      <c r="D398" s="2">
        <v>82</v>
      </c>
      <c r="E398" s="2" t="s">
        <v>30</v>
      </c>
      <c r="F398" s="2" t="s">
        <v>24</v>
      </c>
      <c r="G398" s="2" t="s">
        <v>21</v>
      </c>
      <c r="H398" s="2">
        <v>1.3</v>
      </c>
      <c r="I398" s="2">
        <v>-21.870100000000001</v>
      </c>
      <c r="J398" s="2">
        <v>-2.0451999999999999</v>
      </c>
      <c r="K398" s="2">
        <v>-9.9000000000000005E-2</v>
      </c>
      <c r="L398" s="2">
        <v>5.4000000000000003E-3</v>
      </c>
      <c r="M398" s="2">
        <v>0.30249999999999999</v>
      </c>
      <c r="N398" s="2">
        <v>3.4868000000000001</v>
      </c>
      <c r="O398" s="2">
        <v>82</v>
      </c>
      <c r="P398" s="2">
        <v>1.3</v>
      </c>
      <c r="Q398" s="2"/>
    </row>
    <row r="399" spans="2:17" x14ac:dyDescent="0.3">
      <c r="B399" s="2">
        <v>-1</v>
      </c>
      <c r="C399" s="2" t="s">
        <v>108</v>
      </c>
      <c r="D399" s="2">
        <v>82</v>
      </c>
      <c r="E399" s="2" t="s">
        <v>30</v>
      </c>
      <c r="F399" s="2" t="s">
        <v>24</v>
      </c>
      <c r="G399" s="2" t="s">
        <v>21</v>
      </c>
      <c r="H399" s="2">
        <v>2.6</v>
      </c>
      <c r="I399" s="2">
        <v>-21.4314</v>
      </c>
      <c r="J399" s="2">
        <v>-2.0451999999999999</v>
      </c>
      <c r="K399" s="2">
        <v>-9.9000000000000005E-2</v>
      </c>
      <c r="L399" s="2">
        <v>5.4000000000000003E-3</v>
      </c>
      <c r="M399" s="2">
        <v>1.2399</v>
      </c>
      <c r="N399" s="2">
        <v>13.1281</v>
      </c>
      <c r="O399" s="2">
        <v>82</v>
      </c>
      <c r="P399" s="2">
        <v>2.6</v>
      </c>
      <c r="Q399" s="2"/>
    </row>
    <row r="400" spans="2:17" x14ac:dyDescent="0.3">
      <c r="B400" s="2">
        <v>-1</v>
      </c>
      <c r="C400" s="2" t="s">
        <v>108</v>
      </c>
      <c r="D400" s="2">
        <v>82</v>
      </c>
      <c r="E400" s="2" t="s">
        <v>30</v>
      </c>
      <c r="F400" s="2" t="s">
        <v>24</v>
      </c>
      <c r="G400" s="2" t="s">
        <v>27</v>
      </c>
      <c r="H400" s="2">
        <v>0</v>
      </c>
      <c r="I400" s="2">
        <v>-63.601599999999998</v>
      </c>
      <c r="J400" s="2">
        <v>-7.4164000000000003</v>
      </c>
      <c r="K400" s="2">
        <v>-0.72109999999999996</v>
      </c>
      <c r="L400" s="2">
        <v>-4.4000000000000003E-3</v>
      </c>
      <c r="M400" s="2">
        <v>-0.72009999999999996</v>
      </c>
      <c r="N400" s="2">
        <v>-6.1543999999999999</v>
      </c>
      <c r="O400" s="2">
        <v>82</v>
      </c>
      <c r="P400" s="2">
        <v>0</v>
      </c>
      <c r="Q400" s="2"/>
    </row>
    <row r="401" spans="2:17" x14ac:dyDescent="0.3">
      <c r="B401" s="2">
        <v>-1</v>
      </c>
      <c r="C401" s="2" t="s">
        <v>108</v>
      </c>
      <c r="D401" s="2">
        <v>82</v>
      </c>
      <c r="E401" s="2" t="s">
        <v>30</v>
      </c>
      <c r="F401" s="2" t="s">
        <v>24</v>
      </c>
      <c r="G401" s="2" t="s">
        <v>27</v>
      </c>
      <c r="H401" s="2">
        <v>1.3</v>
      </c>
      <c r="I401" s="2">
        <v>-63.016599999999997</v>
      </c>
      <c r="J401" s="2">
        <v>-7.4164000000000003</v>
      </c>
      <c r="K401" s="2">
        <v>-0.72109999999999996</v>
      </c>
      <c r="L401" s="2">
        <v>-4.4000000000000003E-3</v>
      </c>
      <c r="M401" s="2">
        <v>7.0499999999999993E-2</v>
      </c>
      <c r="N401" s="2">
        <v>1.0631999999999999</v>
      </c>
      <c r="O401" s="2">
        <v>82</v>
      </c>
      <c r="P401" s="2">
        <v>1.3</v>
      </c>
      <c r="Q401" s="2"/>
    </row>
    <row r="402" spans="2:17" x14ac:dyDescent="0.3">
      <c r="B402" s="2">
        <v>-1</v>
      </c>
      <c r="C402" s="2" t="s">
        <v>108</v>
      </c>
      <c r="D402" s="2">
        <v>82</v>
      </c>
      <c r="E402" s="2" t="s">
        <v>30</v>
      </c>
      <c r="F402" s="2" t="s">
        <v>24</v>
      </c>
      <c r="G402" s="2" t="s">
        <v>27</v>
      </c>
      <c r="H402" s="2">
        <v>2.6</v>
      </c>
      <c r="I402" s="2">
        <v>-62.431600000000003</v>
      </c>
      <c r="J402" s="2">
        <v>-7.4164000000000003</v>
      </c>
      <c r="K402" s="2">
        <v>-0.72109999999999996</v>
      </c>
      <c r="L402" s="2">
        <v>-4.4000000000000003E-3</v>
      </c>
      <c r="M402" s="2">
        <v>0.25890000000000002</v>
      </c>
      <c r="N402" s="2">
        <v>3.9279999999999999</v>
      </c>
      <c r="O402" s="2">
        <v>82</v>
      </c>
      <c r="P402" s="2">
        <v>2.6</v>
      </c>
      <c r="Q402" s="2"/>
    </row>
    <row r="403" spans="2:17" x14ac:dyDescent="0.3">
      <c r="B403" s="2">
        <v>-1</v>
      </c>
      <c r="C403" s="2" t="s">
        <v>108</v>
      </c>
      <c r="D403" s="2">
        <v>82</v>
      </c>
      <c r="E403" s="2" t="s">
        <v>31</v>
      </c>
      <c r="F403" s="2" t="s">
        <v>24</v>
      </c>
      <c r="G403" s="2" t="s">
        <v>21</v>
      </c>
      <c r="H403" s="2">
        <v>0</v>
      </c>
      <c r="I403" s="2">
        <v>-22.308900000000001</v>
      </c>
      <c r="J403" s="2">
        <v>-2.4264999999999999</v>
      </c>
      <c r="K403" s="2">
        <v>-9.9000000000000005E-2</v>
      </c>
      <c r="L403" s="2">
        <v>1.2999999999999999E-3</v>
      </c>
      <c r="M403" s="2">
        <v>1.5E-3</v>
      </c>
      <c r="N403" s="2">
        <v>-1.9763999999999999</v>
      </c>
      <c r="O403" s="2">
        <v>82</v>
      </c>
      <c r="P403" s="2">
        <v>0</v>
      </c>
      <c r="Q403" s="2"/>
    </row>
    <row r="404" spans="2:17" x14ac:dyDescent="0.3">
      <c r="B404" s="2">
        <v>-1</v>
      </c>
      <c r="C404" s="2" t="s">
        <v>108</v>
      </c>
      <c r="D404" s="2">
        <v>82</v>
      </c>
      <c r="E404" s="2" t="s">
        <v>31</v>
      </c>
      <c r="F404" s="2" t="s">
        <v>24</v>
      </c>
      <c r="G404" s="2" t="s">
        <v>21</v>
      </c>
      <c r="H404" s="2">
        <v>1.3</v>
      </c>
      <c r="I404" s="2">
        <v>-21.870100000000001</v>
      </c>
      <c r="J404" s="2">
        <v>-2.4264999999999999</v>
      </c>
      <c r="K404" s="2">
        <v>-9.9000000000000005E-2</v>
      </c>
      <c r="L404" s="2">
        <v>1.2999999999999999E-3</v>
      </c>
      <c r="M404" s="2">
        <v>0.13250000000000001</v>
      </c>
      <c r="N404" s="2">
        <v>1.1813</v>
      </c>
      <c r="O404" s="2">
        <v>82</v>
      </c>
      <c r="P404" s="2">
        <v>1.3</v>
      </c>
      <c r="Q404" s="2"/>
    </row>
    <row r="405" spans="2:17" x14ac:dyDescent="0.3">
      <c r="B405" s="2">
        <v>-1</v>
      </c>
      <c r="C405" s="2" t="s">
        <v>108</v>
      </c>
      <c r="D405" s="2">
        <v>82</v>
      </c>
      <c r="E405" s="2" t="s">
        <v>31</v>
      </c>
      <c r="F405" s="2" t="s">
        <v>24</v>
      </c>
      <c r="G405" s="2" t="s">
        <v>21</v>
      </c>
      <c r="H405" s="2">
        <v>2.6</v>
      </c>
      <c r="I405" s="2">
        <v>-21.4314</v>
      </c>
      <c r="J405" s="2">
        <v>-2.4264999999999999</v>
      </c>
      <c r="K405" s="2">
        <v>-9.9000000000000005E-2</v>
      </c>
      <c r="L405" s="2">
        <v>1.2999999999999999E-3</v>
      </c>
      <c r="M405" s="2">
        <v>0.57620000000000005</v>
      </c>
      <c r="N405" s="2">
        <v>4.4522000000000004</v>
      </c>
      <c r="O405" s="2">
        <v>82</v>
      </c>
      <c r="P405" s="2">
        <v>2.6</v>
      </c>
      <c r="Q405" s="2"/>
    </row>
    <row r="406" spans="2:17" x14ac:dyDescent="0.3">
      <c r="B406" s="2">
        <v>-1</v>
      </c>
      <c r="C406" s="2" t="s">
        <v>108</v>
      </c>
      <c r="D406" s="2">
        <v>82</v>
      </c>
      <c r="E406" s="2" t="s">
        <v>31</v>
      </c>
      <c r="F406" s="2" t="s">
        <v>24</v>
      </c>
      <c r="G406" s="2" t="s">
        <v>27</v>
      </c>
      <c r="H406" s="2">
        <v>0</v>
      </c>
      <c r="I406" s="2">
        <v>-22.728899999999999</v>
      </c>
      <c r="J406" s="2">
        <v>-2.5358000000000001</v>
      </c>
      <c r="K406" s="2">
        <v>-0.38719999999999999</v>
      </c>
      <c r="L406" s="2">
        <v>-8.0000000000000004E-4</v>
      </c>
      <c r="M406" s="2">
        <v>-0.43049999999999999</v>
      </c>
      <c r="N406" s="2">
        <v>-2.1423000000000001</v>
      </c>
      <c r="O406" s="2">
        <v>82</v>
      </c>
      <c r="P406" s="2">
        <v>0</v>
      </c>
      <c r="Q406" s="2"/>
    </row>
    <row r="407" spans="2:17" x14ac:dyDescent="0.3">
      <c r="B407" s="2">
        <v>-1</v>
      </c>
      <c r="C407" s="2" t="s">
        <v>108</v>
      </c>
      <c r="D407" s="2">
        <v>82</v>
      </c>
      <c r="E407" s="2" t="s">
        <v>31</v>
      </c>
      <c r="F407" s="2" t="s">
        <v>24</v>
      </c>
      <c r="G407" s="2" t="s">
        <v>27</v>
      </c>
      <c r="H407" s="2">
        <v>1.3</v>
      </c>
      <c r="I407" s="2">
        <v>-22.290099999999999</v>
      </c>
      <c r="J407" s="2">
        <v>-2.5358000000000001</v>
      </c>
      <c r="K407" s="2">
        <v>-0.38719999999999999</v>
      </c>
      <c r="L407" s="2">
        <v>-8.0000000000000004E-4</v>
      </c>
      <c r="M407" s="2">
        <v>7.0499999999999993E-2</v>
      </c>
      <c r="N407" s="2">
        <v>1.1511</v>
      </c>
      <c r="O407" s="2">
        <v>82</v>
      </c>
      <c r="P407" s="2">
        <v>1.3</v>
      </c>
      <c r="Q407" s="2"/>
    </row>
    <row r="408" spans="2:17" x14ac:dyDescent="0.3">
      <c r="B408" s="2">
        <v>-1</v>
      </c>
      <c r="C408" s="2" t="s">
        <v>108</v>
      </c>
      <c r="D408" s="2">
        <v>82</v>
      </c>
      <c r="E408" s="2" t="s">
        <v>31</v>
      </c>
      <c r="F408" s="2" t="s">
        <v>24</v>
      </c>
      <c r="G408" s="2" t="s">
        <v>27</v>
      </c>
      <c r="H408" s="2">
        <v>2.6</v>
      </c>
      <c r="I408" s="2">
        <v>-21.851400000000002</v>
      </c>
      <c r="J408" s="2">
        <v>-2.5358000000000001</v>
      </c>
      <c r="K408" s="2">
        <v>-0.38719999999999999</v>
      </c>
      <c r="L408" s="2">
        <v>-8.0000000000000004E-4</v>
      </c>
      <c r="M408" s="2">
        <v>0.25890000000000002</v>
      </c>
      <c r="N408" s="2">
        <v>4.3311999999999999</v>
      </c>
      <c r="O408" s="2">
        <v>82</v>
      </c>
      <c r="P408" s="2">
        <v>2.6</v>
      </c>
      <c r="Q408" s="2"/>
    </row>
    <row r="409" spans="2:17" x14ac:dyDescent="0.3">
      <c r="B409" s="2">
        <v>-1</v>
      </c>
      <c r="C409" s="2" t="s">
        <v>108</v>
      </c>
      <c r="D409" s="2">
        <v>82</v>
      </c>
      <c r="E409" s="2" t="s">
        <v>32</v>
      </c>
      <c r="F409" s="2" t="s">
        <v>24</v>
      </c>
      <c r="G409" s="2"/>
      <c r="H409" s="2">
        <v>0</v>
      </c>
      <c r="I409" s="2">
        <v>-46.0062</v>
      </c>
      <c r="J409" s="2">
        <v>-5.3243999999999998</v>
      </c>
      <c r="K409" s="2">
        <v>-0.51819999999999999</v>
      </c>
      <c r="L409" s="2">
        <v>8.0000000000000004E-4</v>
      </c>
      <c r="M409" s="2">
        <v>-0.45639999999999997</v>
      </c>
      <c r="N409" s="2">
        <v>-4.4185999999999996</v>
      </c>
      <c r="O409" s="2">
        <v>82</v>
      </c>
      <c r="P409" s="2">
        <v>0</v>
      </c>
      <c r="Q409" s="2"/>
    </row>
    <row r="410" spans="2:17" x14ac:dyDescent="0.3">
      <c r="B410" s="2">
        <v>-1</v>
      </c>
      <c r="C410" s="2" t="s">
        <v>108</v>
      </c>
      <c r="D410" s="2">
        <v>82</v>
      </c>
      <c r="E410" s="2" t="s">
        <v>32</v>
      </c>
      <c r="F410" s="2" t="s">
        <v>24</v>
      </c>
      <c r="G410" s="2"/>
      <c r="H410" s="2">
        <v>1.3</v>
      </c>
      <c r="I410" s="2">
        <v>-45.518700000000003</v>
      </c>
      <c r="J410" s="2">
        <v>-5.3243999999999998</v>
      </c>
      <c r="K410" s="2">
        <v>-0.51819999999999999</v>
      </c>
      <c r="L410" s="2">
        <v>8.0000000000000004E-4</v>
      </c>
      <c r="M410" s="2">
        <v>0.21729999999999999</v>
      </c>
      <c r="N410" s="2">
        <v>2.5032000000000001</v>
      </c>
      <c r="O410" s="2">
        <v>82</v>
      </c>
      <c r="P410" s="2">
        <v>1.3</v>
      </c>
      <c r="Q410" s="2"/>
    </row>
    <row r="411" spans="2:17" x14ac:dyDescent="0.3">
      <c r="B411" s="2">
        <v>-1</v>
      </c>
      <c r="C411" s="2" t="s">
        <v>108</v>
      </c>
      <c r="D411" s="2">
        <v>82</v>
      </c>
      <c r="E411" s="2" t="s">
        <v>32</v>
      </c>
      <c r="F411" s="2" t="s">
        <v>24</v>
      </c>
      <c r="G411" s="2"/>
      <c r="H411" s="2">
        <v>2.6</v>
      </c>
      <c r="I411" s="2">
        <v>-45.031199999999998</v>
      </c>
      <c r="J411" s="2">
        <v>-5.3243999999999998</v>
      </c>
      <c r="K411" s="2">
        <v>-0.51819999999999999</v>
      </c>
      <c r="L411" s="2">
        <v>8.0000000000000004E-4</v>
      </c>
      <c r="M411" s="2">
        <v>0.89100000000000001</v>
      </c>
      <c r="N411" s="2">
        <v>9.4250000000000007</v>
      </c>
      <c r="O411" s="2">
        <v>82</v>
      </c>
      <c r="P411" s="2">
        <v>2.6</v>
      </c>
      <c r="Q411" s="2"/>
    </row>
    <row r="412" spans="2:17" x14ac:dyDescent="0.3">
      <c r="B412" s="2">
        <v>-1</v>
      </c>
      <c r="C412" s="2" t="s">
        <v>109</v>
      </c>
      <c r="D412" s="2">
        <v>85</v>
      </c>
      <c r="E412" s="2" t="s">
        <v>14</v>
      </c>
      <c r="F412" s="2" t="s">
        <v>15</v>
      </c>
      <c r="G412" s="2"/>
      <c r="H412" s="2">
        <v>0</v>
      </c>
      <c r="I412" s="2">
        <v>-24.209399999999999</v>
      </c>
      <c r="J412" s="2">
        <v>-2.6909999999999998</v>
      </c>
      <c r="K412" s="2">
        <v>0.12379999999999999</v>
      </c>
      <c r="L412" s="2">
        <v>2.9999999999999997E-4</v>
      </c>
      <c r="M412" s="2">
        <v>9.6600000000000005E-2</v>
      </c>
      <c r="N412" s="2">
        <v>-2.2311999999999999</v>
      </c>
      <c r="O412" s="2">
        <v>85</v>
      </c>
      <c r="P412" s="2">
        <v>0</v>
      </c>
      <c r="Q412" s="2"/>
    </row>
    <row r="413" spans="2:17" x14ac:dyDescent="0.3">
      <c r="B413" s="2">
        <v>-1</v>
      </c>
      <c r="C413" s="2" t="s">
        <v>109</v>
      </c>
      <c r="D413" s="2">
        <v>85</v>
      </c>
      <c r="E413" s="2" t="s">
        <v>14</v>
      </c>
      <c r="F413" s="2" t="s">
        <v>15</v>
      </c>
      <c r="G413" s="2"/>
      <c r="H413" s="2">
        <v>1.3</v>
      </c>
      <c r="I413" s="2">
        <v>-23.721900000000002</v>
      </c>
      <c r="J413" s="2">
        <v>-2.6909999999999998</v>
      </c>
      <c r="K413" s="2">
        <v>0.12379999999999999</v>
      </c>
      <c r="L413" s="2">
        <v>2.9999999999999997E-4</v>
      </c>
      <c r="M413" s="2">
        <v>-6.4399999999999999E-2</v>
      </c>
      <c r="N413" s="2">
        <v>1.2670999999999999</v>
      </c>
      <c r="O413" s="2">
        <v>85</v>
      </c>
      <c r="P413" s="2">
        <v>1.3</v>
      </c>
      <c r="Q413" s="2"/>
    </row>
    <row r="414" spans="2:17" x14ac:dyDescent="0.3">
      <c r="B414" s="2">
        <v>-1</v>
      </c>
      <c r="C414" s="2" t="s">
        <v>109</v>
      </c>
      <c r="D414" s="2">
        <v>85</v>
      </c>
      <c r="E414" s="2" t="s">
        <v>14</v>
      </c>
      <c r="F414" s="2" t="s">
        <v>15</v>
      </c>
      <c r="G414" s="2"/>
      <c r="H414" s="2">
        <v>2.6</v>
      </c>
      <c r="I414" s="2">
        <v>-23.234400000000001</v>
      </c>
      <c r="J414" s="2">
        <v>-2.6909999999999998</v>
      </c>
      <c r="K414" s="2">
        <v>0.12379999999999999</v>
      </c>
      <c r="L414" s="2">
        <v>2.9999999999999997E-4</v>
      </c>
      <c r="M414" s="2">
        <v>-0.22539999999999999</v>
      </c>
      <c r="N414" s="2">
        <v>4.7652999999999999</v>
      </c>
      <c r="O414" s="2">
        <v>85</v>
      </c>
      <c r="P414" s="2">
        <v>2.6</v>
      </c>
      <c r="Q414" s="2"/>
    </row>
    <row r="415" spans="2:17" x14ac:dyDescent="0.3">
      <c r="B415" s="2">
        <v>-1</v>
      </c>
      <c r="C415" s="2" t="s">
        <v>109</v>
      </c>
      <c r="D415" s="2">
        <v>85</v>
      </c>
      <c r="E415" s="2" t="s">
        <v>18</v>
      </c>
      <c r="F415" s="2" t="s">
        <v>15</v>
      </c>
      <c r="G415" s="2"/>
      <c r="H415" s="2">
        <v>0</v>
      </c>
      <c r="I415" s="2">
        <v>-20.081399999999999</v>
      </c>
      <c r="J415" s="2">
        <v>-2.5192999999999999</v>
      </c>
      <c r="K415" s="2">
        <v>9.0399999999999994E-2</v>
      </c>
      <c r="L415" s="2">
        <v>5.0000000000000001E-4</v>
      </c>
      <c r="M415" s="2">
        <v>6.9599999999999995E-2</v>
      </c>
      <c r="N415" s="2">
        <v>-2.0857999999999999</v>
      </c>
      <c r="O415" s="2">
        <v>85</v>
      </c>
      <c r="P415" s="2">
        <v>0</v>
      </c>
      <c r="Q415" s="2"/>
    </row>
    <row r="416" spans="2:17" x14ac:dyDescent="0.3">
      <c r="B416" s="2">
        <v>-1</v>
      </c>
      <c r="C416" s="2" t="s">
        <v>109</v>
      </c>
      <c r="D416" s="2">
        <v>85</v>
      </c>
      <c r="E416" s="2" t="s">
        <v>18</v>
      </c>
      <c r="F416" s="2" t="s">
        <v>15</v>
      </c>
      <c r="G416" s="2"/>
      <c r="H416" s="2">
        <v>1.3</v>
      </c>
      <c r="I416" s="2">
        <v>-20.081399999999999</v>
      </c>
      <c r="J416" s="2">
        <v>-2.5192999999999999</v>
      </c>
      <c r="K416" s="2">
        <v>9.0399999999999994E-2</v>
      </c>
      <c r="L416" s="2">
        <v>5.0000000000000001E-4</v>
      </c>
      <c r="M416" s="2">
        <v>-4.7899999999999998E-2</v>
      </c>
      <c r="N416" s="2">
        <v>1.1892</v>
      </c>
      <c r="O416" s="2">
        <v>85</v>
      </c>
      <c r="P416" s="2">
        <v>1.3</v>
      </c>
      <c r="Q416" s="2"/>
    </row>
    <row r="417" spans="2:17" x14ac:dyDescent="0.3">
      <c r="B417" s="2">
        <v>-1</v>
      </c>
      <c r="C417" s="2" t="s">
        <v>109</v>
      </c>
      <c r="D417" s="2">
        <v>85</v>
      </c>
      <c r="E417" s="2" t="s">
        <v>18</v>
      </c>
      <c r="F417" s="2" t="s">
        <v>15</v>
      </c>
      <c r="G417" s="2"/>
      <c r="H417" s="2">
        <v>2.6</v>
      </c>
      <c r="I417" s="2">
        <v>-20.081399999999999</v>
      </c>
      <c r="J417" s="2">
        <v>-2.5192999999999999</v>
      </c>
      <c r="K417" s="2">
        <v>9.0399999999999994E-2</v>
      </c>
      <c r="L417" s="2">
        <v>5.0000000000000001E-4</v>
      </c>
      <c r="M417" s="2">
        <v>-0.1653</v>
      </c>
      <c r="N417" s="2">
        <v>4.4642999999999997</v>
      </c>
      <c r="O417" s="2">
        <v>85</v>
      </c>
      <c r="P417" s="2">
        <v>2.6</v>
      </c>
      <c r="Q417" s="2"/>
    </row>
    <row r="418" spans="2:17" x14ac:dyDescent="0.3">
      <c r="B418" s="2">
        <v>-1</v>
      </c>
      <c r="C418" s="2" t="s">
        <v>109</v>
      </c>
      <c r="D418" s="2">
        <v>85</v>
      </c>
      <c r="E418" s="2" t="s">
        <v>19</v>
      </c>
      <c r="F418" s="2" t="s">
        <v>20</v>
      </c>
      <c r="G418" s="2" t="s">
        <v>21</v>
      </c>
      <c r="H418" s="2">
        <v>0</v>
      </c>
      <c r="I418" s="2">
        <v>0.31430000000000002</v>
      </c>
      <c r="J418" s="2">
        <v>0.33090000000000003</v>
      </c>
      <c r="K418" s="2">
        <v>8.6599999999999996E-2</v>
      </c>
      <c r="L418" s="2">
        <v>3.3E-3</v>
      </c>
      <c r="M418" s="2">
        <v>7.9399999999999998E-2</v>
      </c>
      <c r="N418" s="2">
        <v>0.51880000000000004</v>
      </c>
      <c r="O418" s="2">
        <v>85</v>
      </c>
      <c r="P418" s="2">
        <v>0</v>
      </c>
      <c r="Q418" s="2"/>
    </row>
    <row r="419" spans="2:17" x14ac:dyDescent="0.3">
      <c r="B419" s="2">
        <v>-1</v>
      </c>
      <c r="C419" s="2" t="s">
        <v>109</v>
      </c>
      <c r="D419" s="2">
        <v>85</v>
      </c>
      <c r="E419" s="2" t="s">
        <v>19</v>
      </c>
      <c r="F419" s="2" t="s">
        <v>20</v>
      </c>
      <c r="G419" s="2" t="s">
        <v>21</v>
      </c>
      <c r="H419" s="2">
        <v>1.3</v>
      </c>
      <c r="I419" s="2">
        <v>0.31430000000000002</v>
      </c>
      <c r="J419" s="2">
        <v>0.33090000000000003</v>
      </c>
      <c r="K419" s="2">
        <v>8.6599999999999996E-2</v>
      </c>
      <c r="L419" s="2">
        <v>3.3E-3</v>
      </c>
      <c r="M419" s="2">
        <v>3.3700000000000001E-2</v>
      </c>
      <c r="N419" s="2">
        <v>8.8599999999999998E-2</v>
      </c>
      <c r="O419" s="2">
        <v>85</v>
      </c>
      <c r="P419" s="2">
        <v>1.3</v>
      </c>
      <c r="Q419" s="2"/>
    </row>
    <row r="420" spans="2:17" x14ac:dyDescent="0.3">
      <c r="B420" s="2">
        <v>-1</v>
      </c>
      <c r="C420" s="2" t="s">
        <v>109</v>
      </c>
      <c r="D420" s="2">
        <v>85</v>
      </c>
      <c r="E420" s="2" t="s">
        <v>19</v>
      </c>
      <c r="F420" s="2" t="s">
        <v>20</v>
      </c>
      <c r="G420" s="2" t="s">
        <v>21</v>
      </c>
      <c r="H420" s="2">
        <v>2.6</v>
      </c>
      <c r="I420" s="2">
        <v>0.31430000000000002</v>
      </c>
      <c r="J420" s="2">
        <v>0.33090000000000003</v>
      </c>
      <c r="K420" s="2">
        <v>8.6599999999999996E-2</v>
      </c>
      <c r="L420" s="2">
        <v>3.3E-3</v>
      </c>
      <c r="M420" s="2">
        <v>0.14599999999999999</v>
      </c>
      <c r="N420" s="2">
        <v>0.34160000000000001</v>
      </c>
      <c r="O420" s="2">
        <v>85</v>
      </c>
      <c r="P420" s="2">
        <v>2.6</v>
      </c>
      <c r="Q420" s="2"/>
    </row>
    <row r="421" spans="2:17" x14ac:dyDescent="0.3">
      <c r="B421" s="2">
        <v>-1</v>
      </c>
      <c r="C421" s="2" t="s">
        <v>109</v>
      </c>
      <c r="D421" s="2">
        <v>85</v>
      </c>
      <c r="E421" s="2" t="s">
        <v>22</v>
      </c>
      <c r="F421" s="2" t="s">
        <v>20</v>
      </c>
      <c r="G421" s="2" t="s">
        <v>21</v>
      </c>
      <c r="H421" s="2">
        <v>0</v>
      </c>
      <c r="I421" s="2">
        <v>0.56269999999999998</v>
      </c>
      <c r="J421" s="2">
        <v>3.2099999999999997E-2</v>
      </c>
      <c r="K421" s="2">
        <v>0.27310000000000001</v>
      </c>
      <c r="L421" s="2">
        <v>6.9999999999999999E-4</v>
      </c>
      <c r="M421" s="2">
        <v>0.29920000000000002</v>
      </c>
      <c r="N421" s="2">
        <v>5.1200000000000002E-2</v>
      </c>
      <c r="O421" s="2">
        <v>85</v>
      </c>
      <c r="P421" s="2">
        <v>0</v>
      </c>
      <c r="Q421" s="2"/>
    </row>
    <row r="422" spans="2:17" x14ac:dyDescent="0.3">
      <c r="B422" s="2">
        <v>-1</v>
      </c>
      <c r="C422" s="2" t="s">
        <v>109</v>
      </c>
      <c r="D422" s="2">
        <v>85</v>
      </c>
      <c r="E422" s="2" t="s">
        <v>22</v>
      </c>
      <c r="F422" s="2" t="s">
        <v>20</v>
      </c>
      <c r="G422" s="2" t="s">
        <v>21</v>
      </c>
      <c r="H422" s="2">
        <v>1.3</v>
      </c>
      <c r="I422" s="2">
        <v>0.56269999999999998</v>
      </c>
      <c r="J422" s="2">
        <v>3.2099999999999997E-2</v>
      </c>
      <c r="K422" s="2">
        <v>0.27310000000000001</v>
      </c>
      <c r="L422" s="2">
        <v>6.9999999999999999E-4</v>
      </c>
      <c r="M422" s="2">
        <v>5.6500000000000002E-2</v>
      </c>
      <c r="N422" s="2">
        <v>9.4999999999999998E-3</v>
      </c>
      <c r="O422" s="2">
        <v>85</v>
      </c>
      <c r="P422" s="2">
        <v>1.3</v>
      </c>
      <c r="Q422" s="2"/>
    </row>
    <row r="423" spans="2:17" x14ac:dyDescent="0.3">
      <c r="B423" s="2">
        <v>-1</v>
      </c>
      <c r="C423" s="2" t="s">
        <v>109</v>
      </c>
      <c r="D423" s="2">
        <v>85</v>
      </c>
      <c r="E423" s="2" t="s">
        <v>22</v>
      </c>
      <c r="F423" s="2" t="s">
        <v>20</v>
      </c>
      <c r="G423" s="2" t="s">
        <v>21</v>
      </c>
      <c r="H423" s="2">
        <v>2.6</v>
      </c>
      <c r="I423" s="2">
        <v>0.56269999999999998</v>
      </c>
      <c r="J423" s="2">
        <v>3.2099999999999997E-2</v>
      </c>
      <c r="K423" s="2">
        <v>0.27310000000000001</v>
      </c>
      <c r="L423" s="2">
        <v>6.9999999999999999E-4</v>
      </c>
      <c r="M423" s="2">
        <v>0.41089999999999999</v>
      </c>
      <c r="N423" s="2">
        <v>3.2199999999999999E-2</v>
      </c>
      <c r="O423" s="2">
        <v>85</v>
      </c>
      <c r="P423" s="2">
        <v>2.6</v>
      </c>
      <c r="Q423" s="2"/>
    </row>
    <row r="424" spans="2:17" x14ac:dyDescent="0.3">
      <c r="B424" s="2">
        <v>-1</v>
      </c>
      <c r="C424" s="2" t="s">
        <v>109</v>
      </c>
      <c r="D424" s="2">
        <v>85</v>
      </c>
      <c r="E424" s="2" t="s">
        <v>23</v>
      </c>
      <c r="F424" s="2" t="s">
        <v>24</v>
      </c>
      <c r="G424" s="2"/>
      <c r="H424" s="2">
        <v>0</v>
      </c>
      <c r="I424" s="2">
        <v>-33.893099999999997</v>
      </c>
      <c r="J424" s="2">
        <v>-3.7673999999999999</v>
      </c>
      <c r="K424" s="2">
        <v>0.1734</v>
      </c>
      <c r="L424" s="2">
        <v>4.0000000000000002E-4</v>
      </c>
      <c r="M424" s="2">
        <v>0.13519999999999999</v>
      </c>
      <c r="N424" s="2">
        <v>-3.1236999999999999</v>
      </c>
      <c r="O424" s="2">
        <v>85</v>
      </c>
      <c r="P424" s="2">
        <v>0</v>
      </c>
      <c r="Q424" s="2"/>
    </row>
    <row r="425" spans="2:17" x14ac:dyDescent="0.3">
      <c r="B425" s="2">
        <v>-1</v>
      </c>
      <c r="C425" s="2" t="s">
        <v>109</v>
      </c>
      <c r="D425" s="2">
        <v>85</v>
      </c>
      <c r="E425" s="2" t="s">
        <v>23</v>
      </c>
      <c r="F425" s="2" t="s">
        <v>24</v>
      </c>
      <c r="G425" s="2"/>
      <c r="H425" s="2">
        <v>1.3</v>
      </c>
      <c r="I425" s="2">
        <v>-33.210599999999999</v>
      </c>
      <c r="J425" s="2">
        <v>-3.7673999999999999</v>
      </c>
      <c r="K425" s="2">
        <v>0.1734</v>
      </c>
      <c r="L425" s="2">
        <v>4.0000000000000002E-4</v>
      </c>
      <c r="M425" s="2">
        <v>-9.0200000000000002E-2</v>
      </c>
      <c r="N425" s="2">
        <v>1.7739</v>
      </c>
      <c r="O425" s="2">
        <v>85</v>
      </c>
      <c r="P425" s="2">
        <v>1.3</v>
      </c>
      <c r="Q425" s="2"/>
    </row>
    <row r="426" spans="2:17" x14ac:dyDescent="0.3">
      <c r="B426" s="2">
        <v>-1</v>
      </c>
      <c r="C426" s="2" t="s">
        <v>109</v>
      </c>
      <c r="D426" s="2">
        <v>85</v>
      </c>
      <c r="E426" s="2" t="s">
        <v>23</v>
      </c>
      <c r="F426" s="2" t="s">
        <v>24</v>
      </c>
      <c r="G426" s="2"/>
      <c r="H426" s="2">
        <v>2.6</v>
      </c>
      <c r="I426" s="2">
        <v>-32.528100000000002</v>
      </c>
      <c r="J426" s="2">
        <v>-3.7673999999999999</v>
      </c>
      <c r="K426" s="2">
        <v>0.1734</v>
      </c>
      <c r="L426" s="2">
        <v>4.0000000000000002E-4</v>
      </c>
      <c r="M426" s="2">
        <v>-0.31559999999999999</v>
      </c>
      <c r="N426" s="2">
        <v>6.6715</v>
      </c>
      <c r="O426" s="2">
        <v>85</v>
      </c>
      <c r="P426" s="2">
        <v>2.6</v>
      </c>
      <c r="Q426" s="2"/>
    </row>
    <row r="427" spans="2:17" x14ac:dyDescent="0.3">
      <c r="B427" s="2">
        <v>-1</v>
      </c>
      <c r="C427" s="2" t="s">
        <v>109</v>
      </c>
      <c r="D427" s="2">
        <v>85</v>
      </c>
      <c r="E427" s="2" t="s">
        <v>25</v>
      </c>
      <c r="F427" s="2" t="s">
        <v>24</v>
      </c>
      <c r="G427" s="2"/>
      <c r="H427" s="2">
        <v>0</v>
      </c>
      <c r="I427" s="2">
        <v>-61.1815</v>
      </c>
      <c r="J427" s="2">
        <v>-7.2601000000000004</v>
      </c>
      <c r="K427" s="2">
        <v>0.29320000000000002</v>
      </c>
      <c r="L427" s="2">
        <v>1.1000000000000001E-3</v>
      </c>
      <c r="M427" s="2">
        <v>0.22720000000000001</v>
      </c>
      <c r="N427" s="2">
        <v>-6.0148000000000001</v>
      </c>
      <c r="O427" s="2">
        <v>85</v>
      </c>
      <c r="P427" s="2">
        <v>0</v>
      </c>
      <c r="Q427" s="2"/>
    </row>
    <row r="428" spans="2:17" x14ac:dyDescent="0.3">
      <c r="B428" s="2">
        <v>-1</v>
      </c>
      <c r="C428" s="2" t="s">
        <v>109</v>
      </c>
      <c r="D428" s="2">
        <v>85</v>
      </c>
      <c r="E428" s="2" t="s">
        <v>25</v>
      </c>
      <c r="F428" s="2" t="s">
        <v>24</v>
      </c>
      <c r="G428" s="2"/>
      <c r="H428" s="2">
        <v>1.3</v>
      </c>
      <c r="I428" s="2">
        <v>-60.596499999999999</v>
      </c>
      <c r="J428" s="2">
        <v>-7.2601000000000004</v>
      </c>
      <c r="K428" s="2">
        <v>0.29320000000000002</v>
      </c>
      <c r="L428" s="2">
        <v>1.1000000000000001E-3</v>
      </c>
      <c r="M428" s="2">
        <v>-0.15390000000000001</v>
      </c>
      <c r="N428" s="2">
        <v>3.4232999999999998</v>
      </c>
      <c r="O428" s="2">
        <v>85</v>
      </c>
      <c r="P428" s="2">
        <v>1.3</v>
      </c>
      <c r="Q428" s="2"/>
    </row>
    <row r="429" spans="2:17" x14ac:dyDescent="0.3">
      <c r="B429" s="2">
        <v>-1</v>
      </c>
      <c r="C429" s="2" t="s">
        <v>109</v>
      </c>
      <c r="D429" s="2">
        <v>85</v>
      </c>
      <c r="E429" s="2" t="s">
        <v>25</v>
      </c>
      <c r="F429" s="2" t="s">
        <v>24</v>
      </c>
      <c r="G429" s="2"/>
      <c r="H429" s="2">
        <v>2.6</v>
      </c>
      <c r="I429" s="2">
        <v>-60.011499999999998</v>
      </c>
      <c r="J429" s="2">
        <v>-7.2601000000000004</v>
      </c>
      <c r="K429" s="2">
        <v>0.29320000000000002</v>
      </c>
      <c r="L429" s="2">
        <v>1.1000000000000001E-3</v>
      </c>
      <c r="M429" s="2">
        <v>-0.53510000000000002</v>
      </c>
      <c r="N429" s="2">
        <v>12.8614</v>
      </c>
      <c r="O429" s="2">
        <v>85</v>
      </c>
      <c r="P429" s="2">
        <v>2.6</v>
      </c>
      <c r="Q429" s="2"/>
    </row>
    <row r="430" spans="2:17" x14ac:dyDescent="0.3">
      <c r="B430" s="2">
        <v>-1</v>
      </c>
      <c r="C430" s="2" t="s">
        <v>109</v>
      </c>
      <c r="D430" s="2">
        <v>85</v>
      </c>
      <c r="E430" s="2" t="s">
        <v>26</v>
      </c>
      <c r="F430" s="2" t="s">
        <v>24</v>
      </c>
      <c r="G430" s="2" t="s">
        <v>21</v>
      </c>
      <c r="H430" s="2">
        <v>0</v>
      </c>
      <c r="I430" s="2">
        <v>-21.348400000000002</v>
      </c>
      <c r="J430" s="2">
        <v>-1.9585999999999999</v>
      </c>
      <c r="K430" s="2">
        <v>0.23269999999999999</v>
      </c>
      <c r="L430" s="2">
        <v>4.8999999999999998E-3</v>
      </c>
      <c r="M430" s="2">
        <v>0.1981</v>
      </c>
      <c r="N430" s="2">
        <v>-1.2818000000000001</v>
      </c>
      <c r="O430" s="2">
        <v>85</v>
      </c>
      <c r="P430" s="2">
        <v>0</v>
      </c>
      <c r="Q430" s="2"/>
    </row>
    <row r="431" spans="2:17" x14ac:dyDescent="0.3">
      <c r="B431" s="2">
        <v>-1</v>
      </c>
      <c r="C431" s="2" t="s">
        <v>109</v>
      </c>
      <c r="D431" s="2">
        <v>85</v>
      </c>
      <c r="E431" s="2" t="s">
        <v>26</v>
      </c>
      <c r="F431" s="2" t="s">
        <v>24</v>
      </c>
      <c r="G431" s="2" t="s">
        <v>21</v>
      </c>
      <c r="H431" s="2">
        <v>1.3</v>
      </c>
      <c r="I431" s="2">
        <v>-20.909600000000001</v>
      </c>
      <c r="J431" s="2">
        <v>-1.9585999999999999</v>
      </c>
      <c r="K431" s="2">
        <v>0.23269999999999999</v>
      </c>
      <c r="L431" s="2">
        <v>4.8999999999999998E-3</v>
      </c>
      <c r="M431" s="2">
        <v>-1.0800000000000001E-2</v>
      </c>
      <c r="N431" s="2">
        <v>1.2644</v>
      </c>
      <c r="O431" s="2">
        <v>85</v>
      </c>
      <c r="P431" s="2">
        <v>1.3</v>
      </c>
      <c r="Q431" s="2"/>
    </row>
    <row r="432" spans="2:17" x14ac:dyDescent="0.3">
      <c r="B432" s="2">
        <v>-1</v>
      </c>
      <c r="C432" s="2" t="s">
        <v>109</v>
      </c>
      <c r="D432" s="2">
        <v>85</v>
      </c>
      <c r="E432" s="2" t="s">
        <v>26</v>
      </c>
      <c r="F432" s="2" t="s">
        <v>24</v>
      </c>
      <c r="G432" s="2" t="s">
        <v>21</v>
      </c>
      <c r="H432" s="2">
        <v>2.6</v>
      </c>
      <c r="I432" s="2">
        <v>-20.4709</v>
      </c>
      <c r="J432" s="2">
        <v>-1.9585999999999999</v>
      </c>
      <c r="K432" s="2">
        <v>0.23269999999999999</v>
      </c>
      <c r="L432" s="2">
        <v>4.8999999999999998E-3</v>
      </c>
      <c r="M432" s="2">
        <v>1.5E-3</v>
      </c>
      <c r="N432" s="2">
        <v>4.7670000000000003</v>
      </c>
      <c r="O432" s="2">
        <v>85</v>
      </c>
      <c r="P432" s="2">
        <v>2.6</v>
      </c>
      <c r="Q432" s="2"/>
    </row>
    <row r="433" spans="2:17" x14ac:dyDescent="0.3">
      <c r="B433" s="2">
        <v>-1</v>
      </c>
      <c r="C433" s="2" t="s">
        <v>109</v>
      </c>
      <c r="D433" s="2">
        <v>85</v>
      </c>
      <c r="E433" s="2" t="s">
        <v>26</v>
      </c>
      <c r="F433" s="2" t="s">
        <v>24</v>
      </c>
      <c r="G433" s="2" t="s">
        <v>27</v>
      </c>
      <c r="H433" s="2">
        <v>0</v>
      </c>
      <c r="I433" s="2">
        <v>-22.2285</v>
      </c>
      <c r="J433" s="2">
        <v>-2.8851</v>
      </c>
      <c r="K433" s="2">
        <v>-9.7999999999999997E-3</v>
      </c>
      <c r="L433" s="2">
        <v>-4.4000000000000003E-3</v>
      </c>
      <c r="M433" s="2">
        <v>-2.4299999999999999E-2</v>
      </c>
      <c r="N433" s="2">
        <v>-2.7343999999999999</v>
      </c>
      <c r="O433" s="2">
        <v>85</v>
      </c>
      <c r="P433" s="2">
        <v>0</v>
      </c>
      <c r="Q433" s="2"/>
    </row>
    <row r="434" spans="2:17" x14ac:dyDescent="0.3">
      <c r="B434" s="2">
        <v>-1</v>
      </c>
      <c r="C434" s="2" t="s">
        <v>109</v>
      </c>
      <c r="D434" s="2">
        <v>85</v>
      </c>
      <c r="E434" s="2" t="s">
        <v>26</v>
      </c>
      <c r="F434" s="2" t="s">
        <v>24</v>
      </c>
      <c r="G434" s="2" t="s">
        <v>27</v>
      </c>
      <c r="H434" s="2">
        <v>1.3</v>
      </c>
      <c r="I434" s="2">
        <v>-21.7897</v>
      </c>
      <c r="J434" s="2">
        <v>-2.8851</v>
      </c>
      <c r="K434" s="2">
        <v>-9.7999999999999997E-3</v>
      </c>
      <c r="L434" s="2">
        <v>-4.4000000000000003E-3</v>
      </c>
      <c r="M434" s="2">
        <v>-0.1052</v>
      </c>
      <c r="N434" s="2">
        <v>1.0163</v>
      </c>
      <c r="O434" s="2">
        <v>85</v>
      </c>
      <c r="P434" s="2">
        <v>1.3</v>
      </c>
      <c r="Q434" s="2"/>
    </row>
    <row r="435" spans="2:17" x14ac:dyDescent="0.3">
      <c r="B435" s="2">
        <v>-1</v>
      </c>
      <c r="C435" s="2" t="s">
        <v>109</v>
      </c>
      <c r="D435" s="2">
        <v>85</v>
      </c>
      <c r="E435" s="2" t="s">
        <v>26</v>
      </c>
      <c r="F435" s="2" t="s">
        <v>24</v>
      </c>
      <c r="G435" s="2" t="s">
        <v>27</v>
      </c>
      <c r="H435" s="2">
        <v>2.6</v>
      </c>
      <c r="I435" s="2">
        <v>-21.350999999999999</v>
      </c>
      <c r="J435" s="2">
        <v>-2.8851</v>
      </c>
      <c r="K435" s="2">
        <v>-9.7999999999999997E-3</v>
      </c>
      <c r="L435" s="2">
        <v>-4.4000000000000003E-3</v>
      </c>
      <c r="M435" s="2">
        <v>-0.4073</v>
      </c>
      <c r="N435" s="2">
        <v>3.8106</v>
      </c>
      <c r="O435" s="2">
        <v>85</v>
      </c>
      <c r="P435" s="2">
        <v>2.6</v>
      </c>
      <c r="Q435" s="2"/>
    </row>
    <row r="436" spans="2:17" x14ac:dyDescent="0.3">
      <c r="B436" s="2">
        <v>-1</v>
      </c>
      <c r="C436" s="2" t="s">
        <v>109</v>
      </c>
      <c r="D436" s="2">
        <v>85</v>
      </c>
      <c r="E436" s="2" t="s">
        <v>28</v>
      </c>
      <c r="F436" s="2" t="s">
        <v>24</v>
      </c>
      <c r="G436" s="2" t="s">
        <v>21</v>
      </c>
      <c r="H436" s="2">
        <v>0</v>
      </c>
      <c r="I436" s="2">
        <v>-48.692599999999999</v>
      </c>
      <c r="J436" s="2">
        <v>-5.2851999999999997</v>
      </c>
      <c r="K436" s="2">
        <v>0.36020000000000002</v>
      </c>
      <c r="L436" s="2">
        <v>5.4000000000000003E-3</v>
      </c>
      <c r="M436" s="2">
        <v>0.29659999999999997</v>
      </c>
      <c r="N436" s="2">
        <v>-4.0369999999999999</v>
      </c>
      <c r="O436" s="2">
        <v>85</v>
      </c>
      <c r="P436" s="2">
        <v>0</v>
      </c>
      <c r="Q436" s="2"/>
    </row>
    <row r="437" spans="2:17" x14ac:dyDescent="0.3">
      <c r="B437" s="2">
        <v>-1</v>
      </c>
      <c r="C437" s="2" t="s">
        <v>109</v>
      </c>
      <c r="D437" s="2">
        <v>85</v>
      </c>
      <c r="E437" s="2" t="s">
        <v>28</v>
      </c>
      <c r="F437" s="2" t="s">
        <v>24</v>
      </c>
      <c r="G437" s="2" t="s">
        <v>21</v>
      </c>
      <c r="H437" s="2">
        <v>1.3</v>
      </c>
      <c r="I437" s="2">
        <v>-48.107599999999998</v>
      </c>
      <c r="J437" s="2">
        <v>-5.2851999999999997</v>
      </c>
      <c r="K437" s="2">
        <v>0.36020000000000002</v>
      </c>
      <c r="L437" s="2">
        <v>5.4000000000000003E-3</v>
      </c>
      <c r="M437" s="2">
        <v>-7.8E-2</v>
      </c>
      <c r="N437" s="2">
        <v>2.8338000000000001</v>
      </c>
      <c r="O437" s="2">
        <v>85</v>
      </c>
      <c r="P437" s="2">
        <v>1.3</v>
      </c>
      <c r="Q437" s="2"/>
    </row>
    <row r="438" spans="2:17" x14ac:dyDescent="0.3">
      <c r="B438" s="2">
        <v>-1</v>
      </c>
      <c r="C438" s="2" t="s">
        <v>109</v>
      </c>
      <c r="D438" s="2">
        <v>85</v>
      </c>
      <c r="E438" s="2" t="s">
        <v>28</v>
      </c>
      <c r="F438" s="2" t="s">
        <v>24</v>
      </c>
      <c r="G438" s="2" t="s">
        <v>21</v>
      </c>
      <c r="H438" s="2">
        <v>2.6</v>
      </c>
      <c r="I438" s="2">
        <v>-47.522599999999997</v>
      </c>
      <c r="J438" s="2">
        <v>-5.2851999999999997</v>
      </c>
      <c r="K438" s="2">
        <v>0.36020000000000002</v>
      </c>
      <c r="L438" s="2">
        <v>5.4000000000000003E-3</v>
      </c>
      <c r="M438" s="2">
        <v>-0.23150000000000001</v>
      </c>
      <c r="N438" s="2">
        <v>10.6609</v>
      </c>
      <c r="O438" s="2">
        <v>85</v>
      </c>
      <c r="P438" s="2">
        <v>2.6</v>
      </c>
      <c r="Q438" s="2"/>
    </row>
    <row r="439" spans="2:17" x14ac:dyDescent="0.3">
      <c r="B439" s="2">
        <v>-1</v>
      </c>
      <c r="C439" s="2" t="s">
        <v>109</v>
      </c>
      <c r="D439" s="2">
        <v>85</v>
      </c>
      <c r="E439" s="2" t="s">
        <v>28</v>
      </c>
      <c r="F439" s="2" t="s">
        <v>24</v>
      </c>
      <c r="G439" s="2" t="s">
        <v>27</v>
      </c>
      <c r="H439" s="2">
        <v>0</v>
      </c>
      <c r="I439" s="2">
        <v>-49.572699999999998</v>
      </c>
      <c r="J439" s="2">
        <v>-6.2117000000000004</v>
      </c>
      <c r="K439" s="2">
        <v>0.1177</v>
      </c>
      <c r="L439" s="2">
        <v>-3.8E-3</v>
      </c>
      <c r="M439" s="2">
        <v>7.4300000000000005E-2</v>
      </c>
      <c r="N439" s="2">
        <v>-5.4896000000000003</v>
      </c>
      <c r="O439" s="2">
        <v>85</v>
      </c>
      <c r="P439" s="2">
        <v>0</v>
      </c>
      <c r="Q439" s="2"/>
    </row>
    <row r="440" spans="2:17" x14ac:dyDescent="0.3">
      <c r="B440" s="2">
        <v>-1</v>
      </c>
      <c r="C440" s="2" t="s">
        <v>109</v>
      </c>
      <c r="D440" s="2">
        <v>85</v>
      </c>
      <c r="E440" s="2" t="s">
        <v>28</v>
      </c>
      <c r="F440" s="2" t="s">
        <v>24</v>
      </c>
      <c r="G440" s="2" t="s">
        <v>27</v>
      </c>
      <c r="H440" s="2">
        <v>1.3</v>
      </c>
      <c r="I440" s="2">
        <v>-48.987699999999997</v>
      </c>
      <c r="J440" s="2">
        <v>-6.2117000000000004</v>
      </c>
      <c r="K440" s="2">
        <v>0.1177</v>
      </c>
      <c r="L440" s="2">
        <v>-3.8E-3</v>
      </c>
      <c r="M440" s="2">
        <v>-0.1724</v>
      </c>
      <c r="N440" s="2">
        <v>2.5857000000000001</v>
      </c>
      <c r="O440" s="2">
        <v>85</v>
      </c>
      <c r="P440" s="2">
        <v>1.3</v>
      </c>
      <c r="Q440" s="2"/>
    </row>
    <row r="441" spans="2:17" x14ac:dyDescent="0.3">
      <c r="B441" s="2">
        <v>-1</v>
      </c>
      <c r="C441" s="2" t="s">
        <v>109</v>
      </c>
      <c r="D441" s="2">
        <v>85</v>
      </c>
      <c r="E441" s="2" t="s">
        <v>28</v>
      </c>
      <c r="F441" s="2" t="s">
        <v>24</v>
      </c>
      <c r="G441" s="2" t="s">
        <v>27</v>
      </c>
      <c r="H441" s="2">
        <v>2.6</v>
      </c>
      <c r="I441" s="2">
        <v>-48.402700000000003</v>
      </c>
      <c r="J441" s="2">
        <v>-6.2117000000000004</v>
      </c>
      <c r="K441" s="2">
        <v>0.1177</v>
      </c>
      <c r="L441" s="2">
        <v>-3.8E-3</v>
      </c>
      <c r="M441" s="2">
        <v>-0.64029999999999998</v>
      </c>
      <c r="N441" s="2">
        <v>9.7045999999999992</v>
      </c>
      <c r="O441" s="2">
        <v>85</v>
      </c>
      <c r="P441" s="2">
        <v>2.6</v>
      </c>
      <c r="Q441" s="2"/>
    </row>
    <row r="442" spans="2:17" x14ac:dyDescent="0.3">
      <c r="B442" s="2">
        <v>-1</v>
      </c>
      <c r="C442" s="2" t="s">
        <v>109</v>
      </c>
      <c r="D442" s="2">
        <v>85</v>
      </c>
      <c r="E442" s="2" t="s">
        <v>29</v>
      </c>
      <c r="F442" s="2" t="s">
        <v>24</v>
      </c>
      <c r="G442" s="2" t="s">
        <v>21</v>
      </c>
      <c r="H442" s="2">
        <v>0</v>
      </c>
      <c r="I442" s="2">
        <v>-48.344799999999999</v>
      </c>
      <c r="J442" s="2">
        <v>-5.7035999999999998</v>
      </c>
      <c r="K442" s="2">
        <v>0.62119999999999997</v>
      </c>
      <c r="L442" s="2">
        <v>1.8E-3</v>
      </c>
      <c r="M442" s="2">
        <v>0.60440000000000005</v>
      </c>
      <c r="N442" s="2">
        <v>-4.6916000000000002</v>
      </c>
      <c r="O442" s="2">
        <v>85</v>
      </c>
      <c r="P442" s="2">
        <v>0</v>
      </c>
      <c r="Q442" s="2"/>
    </row>
    <row r="443" spans="2:17" x14ac:dyDescent="0.3">
      <c r="B443" s="2">
        <v>-1</v>
      </c>
      <c r="C443" s="2" t="s">
        <v>109</v>
      </c>
      <c r="D443" s="2">
        <v>85</v>
      </c>
      <c r="E443" s="2" t="s">
        <v>29</v>
      </c>
      <c r="F443" s="2" t="s">
        <v>24</v>
      </c>
      <c r="G443" s="2" t="s">
        <v>21</v>
      </c>
      <c r="H443" s="2">
        <v>1.3</v>
      </c>
      <c r="I443" s="2">
        <v>-47.759799999999998</v>
      </c>
      <c r="J443" s="2">
        <v>-5.7035999999999998</v>
      </c>
      <c r="K443" s="2">
        <v>0.62119999999999997</v>
      </c>
      <c r="L443" s="2">
        <v>1.8E-3</v>
      </c>
      <c r="M443" s="2">
        <v>-4.6100000000000002E-2</v>
      </c>
      <c r="N443" s="2">
        <v>2.7229999999999999</v>
      </c>
      <c r="O443" s="2">
        <v>85</v>
      </c>
      <c r="P443" s="2">
        <v>1.3</v>
      </c>
      <c r="Q443" s="2"/>
    </row>
    <row r="444" spans="2:17" x14ac:dyDescent="0.3">
      <c r="B444" s="2">
        <v>-1</v>
      </c>
      <c r="C444" s="2" t="s">
        <v>109</v>
      </c>
      <c r="D444" s="2">
        <v>85</v>
      </c>
      <c r="E444" s="2" t="s">
        <v>29</v>
      </c>
      <c r="F444" s="2" t="s">
        <v>24</v>
      </c>
      <c r="G444" s="2" t="s">
        <v>21</v>
      </c>
      <c r="H444" s="2">
        <v>2.6</v>
      </c>
      <c r="I444" s="2">
        <v>-47.174799999999998</v>
      </c>
      <c r="J444" s="2">
        <v>-5.7035999999999998</v>
      </c>
      <c r="K444" s="2">
        <v>0.62119999999999997</v>
      </c>
      <c r="L444" s="2">
        <v>1.8E-3</v>
      </c>
      <c r="M444" s="2">
        <v>0.1394</v>
      </c>
      <c r="N444" s="2">
        <v>10.2279</v>
      </c>
      <c r="O444" s="2">
        <v>85</v>
      </c>
      <c r="P444" s="2">
        <v>2.6</v>
      </c>
      <c r="Q444" s="2"/>
    </row>
    <row r="445" spans="2:17" x14ac:dyDescent="0.3">
      <c r="B445" s="2">
        <v>-1</v>
      </c>
      <c r="C445" s="2" t="s">
        <v>109</v>
      </c>
      <c r="D445" s="2">
        <v>85</v>
      </c>
      <c r="E445" s="2" t="s">
        <v>29</v>
      </c>
      <c r="F445" s="2" t="s">
        <v>24</v>
      </c>
      <c r="G445" s="2" t="s">
        <v>27</v>
      </c>
      <c r="H445" s="2">
        <v>0</v>
      </c>
      <c r="I445" s="2">
        <v>-49.920400000000001</v>
      </c>
      <c r="J445" s="2">
        <v>-5.7934000000000001</v>
      </c>
      <c r="K445" s="2">
        <v>-0.14330000000000001</v>
      </c>
      <c r="L445" s="2">
        <v>-2.0000000000000001E-4</v>
      </c>
      <c r="M445" s="2">
        <v>-0.2334</v>
      </c>
      <c r="N445" s="2">
        <v>-4.835</v>
      </c>
      <c r="O445" s="2">
        <v>85</v>
      </c>
      <c r="P445" s="2">
        <v>0</v>
      </c>
      <c r="Q445" s="2"/>
    </row>
    <row r="446" spans="2:17" x14ac:dyDescent="0.3">
      <c r="B446" s="2">
        <v>-1</v>
      </c>
      <c r="C446" s="2" t="s">
        <v>109</v>
      </c>
      <c r="D446" s="2">
        <v>85</v>
      </c>
      <c r="E446" s="2" t="s">
        <v>29</v>
      </c>
      <c r="F446" s="2" t="s">
        <v>24</v>
      </c>
      <c r="G446" s="2" t="s">
        <v>27</v>
      </c>
      <c r="H446" s="2">
        <v>1.3</v>
      </c>
      <c r="I446" s="2">
        <v>-49.3354</v>
      </c>
      <c r="J446" s="2">
        <v>-5.7934000000000001</v>
      </c>
      <c r="K446" s="2">
        <v>-0.14330000000000001</v>
      </c>
      <c r="L446" s="2">
        <v>-2.0000000000000001E-4</v>
      </c>
      <c r="M446" s="2">
        <v>-0.20419999999999999</v>
      </c>
      <c r="N446" s="2">
        <v>2.6964000000000001</v>
      </c>
      <c r="O446" s="2">
        <v>85</v>
      </c>
      <c r="P446" s="2">
        <v>1.3</v>
      </c>
      <c r="Q446" s="2"/>
    </row>
    <row r="447" spans="2:17" x14ac:dyDescent="0.3">
      <c r="B447" s="2">
        <v>-1</v>
      </c>
      <c r="C447" s="2" t="s">
        <v>109</v>
      </c>
      <c r="D447" s="2">
        <v>85</v>
      </c>
      <c r="E447" s="2" t="s">
        <v>29</v>
      </c>
      <c r="F447" s="2" t="s">
        <v>24</v>
      </c>
      <c r="G447" s="2" t="s">
        <v>27</v>
      </c>
      <c r="H447" s="2">
        <v>2.6</v>
      </c>
      <c r="I447" s="2">
        <v>-48.750399999999999</v>
      </c>
      <c r="J447" s="2">
        <v>-5.7934000000000001</v>
      </c>
      <c r="K447" s="2">
        <v>-0.14330000000000001</v>
      </c>
      <c r="L447" s="2">
        <v>-2.0000000000000001E-4</v>
      </c>
      <c r="M447" s="2">
        <v>-1.0111000000000001</v>
      </c>
      <c r="N447" s="2">
        <v>10.137700000000001</v>
      </c>
      <c r="O447" s="2">
        <v>85</v>
      </c>
      <c r="P447" s="2">
        <v>2.6</v>
      </c>
      <c r="Q447" s="2"/>
    </row>
    <row r="448" spans="2:17" x14ac:dyDescent="0.3">
      <c r="B448" s="2">
        <v>-1</v>
      </c>
      <c r="C448" s="2" t="s">
        <v>109</v>
      </c>
      <c r="D448" s="2">
        <v>85</v>
      </c>
      <c r="E448" s="2" t="s">
        <v>30</v>
      </c>
      <c r="F448" s="2" t="s">
        <v>24</v>
      </c>
      <c r="G448" s="2" t="s">
        <v>21</v>
      </c>
      <c r="H448" s="2">
        <v>0</v>
      </c>
      <c r="I448" s="2">
        <v>-21.000599999999999</v>
      </c>
      <c r="J448" s="2">
        <v>-1.9585999999999999</v>
      </c>
      <c r="K448" s="2">
        <v>0.62119999999999997</v>
      </c>
      <c r="L448" s="2">
        <v>5.4000000000000003E-3</v>
      </c>
      <c r="M448" s="2">
        <v>0.60440000000000005</v>
      </c>
      <c r="N448" s="2">
        <v>-1.2818000000000001</v>
      </c>
      <c r="O448" s="2">
        <v>85</v>
      </c>
      <c r="P448" s="2">
        <v>0</v>
      </c>
      <c r="Q448" s="2"/>
    </row>
    <row r="449" spans="2:17" x14ac:dyDescent="0.3">
      <c r="B449" s="2">
        <v>-1</v>
      </c>
      <c r="C449" s="2" t="s">
        <v>109</v>
      </c>
      <c r="D449" s="2">
        <v>85</v>
      </c>
      <c r="E449" s="2" t="s">
        <v>30</v>
      </c>
      <c r="F449" s="2" t="s">
        <v>24</v>
      </c>
      <c r="G449" s="2" t="s">
        <v>21</v>
      </c>
      <c r="H449" s="2">
        <v>1.3</v>
      </c>
      <c r="I449" s="2">
        <v>-20.561900000000001</v>
      </c>
      <c r="J449" s="2">
        <v>-1.9585999999999999</v>
      </c>
      <c r="K449" s="2">
        <v>0.62119999999999997</v>
      </c>
      <c r="L449" s="2">
        <v>5.4000000000000003E-3</v>
      </c>
      <c r="M449" s="2">
        <v>2.1100000000000001E-2</v>
      </c>
      <c r="N449" s="2">
        <v>3.4232999999999998</v>
      </c>
      <c r="O449" s="2">
        <v>85</v>
      </c>
      <c r="P449" s="2">
        <v>1.3</v>
      </c>
      <c r="Q449" s="2"/>
    </row>
    <row r="450" spans="2:17" x14ac:dyDescent="0.3">
      <c r="B450" s="2">
        <v>-1</v>
      </c>
      <c r="C450" s="2" t="s">
        <v>109</v>
      </c>
      <c r="D450" s="2">
        <v>85</v>
      </c>
      <c r="E450" s="2" t="s">
        <v>30</v>
      </c>
      <c r="F450" s="2" t="s">
        <v>24</v>
      </c>
      <c r="G450" s="2" t="s">
        <v>21</v>
      </c>
      <c r="H450" s="2">
        <v>2.6</v>
      </c>
      <c r="I450" s="2">
        <v>-20.123100000000001</v>
      </c>
      <c r="J450" s="2">
        <v>-1.9585999999999999</v>
      </c>
      <c r="K450" s="2">
        <v>0.62119999999999997</v>
      </c>
      <c r="L450" s="2">
        <v>5.4000000000000003E-3</v>
      </c>
      <c r="M450" s="2">
        <v>0.37240000000000001</v>
      </c>
      <c r="N450" s="2">
        <v>12.8614</v>
      </c>
      <c r="O450" s="2">
        <v>85</v>
      </c>
      <c r="P450" s="2">
        <v>2.6</v>
      </c>
      <c r="Q450" s="2"/>
    </row>
    <row r="451" spans="2:17" x14ac:dyDescent="0.3">
      <c r="B451" s="2">
        <v>-1</v>
      </c>
      <c r="C451" s="2" t="s">
        <v>109</v>
      </c>
      <c r="D451" s="2">
        <v>85</v>
      </c>
      <c r="E451" s="2" t="s">
        <v>30</v>
      </c>
      <c r="F451" s="2" t="s">
        <v>24</v>
      </c>
      <c r="G451" s="2" t="s">
        <v>27</v>
      </c>
      <c r="H451" s="2">
        <v>0</v>
      </c>
      <c r="I451" s="2">
        <v>-61.1815</v>
      </c>
      <c r="J451" s="2">
        <v>-7.2601000000000004</v>
      </c>
      <c r="K451" s="2">
        <v>-0.27079999999999999</v>
      </c>
      <c r="L451" s="2">
        <v>-4.4000000000000003E-3</v>
      </c>
      <c r="M451" s="2">
        <v>-0.33200000000000002</v>
      </c>
      <c r="N451" s="2">
        <v>-6.0148000000000001</v>
      </c>
      <c r="O451" s="2">
        <v>85</v>
      </c>
      <c r="P451" s="2">
        <v>0</v>
      </c>
      <c r="Q451" s="2"/>
    </row>
    <row r="452" spans="2:17" x14ac:dyDescent="0.3">
      <c r="B452" s="2">
        <v>-1</v>
      </c>
      <c r="C452" s="2" t="s">
        <v>109</v>
      </c>
      <c r="D452" s="2">
        <v>85</v>
      </c>
      <c r="E452" s="2" t="s">
        <v>30</v>
      </c>
      <c r="F452" s="2" t="s">
        <v>24</v>
      </c>
      <c r="G452" s="2" t="s">
        <v>27</v>
      </c>
      <c r="H452" s="2">
        <v>1.3</v>
      </c>
      <c r="I452" s="2">
        <v>-60.596499999999999</v>
      </c>
      <c r="J452" s="2">
        <v>-7.2601000000000004</v>
      </c>
      <c r="K452" s="2">
        <v>-0.27079999999999999</v>
      </c>
      <c r="L452" s="2">
        <v>-4.4000000000000003E-3</v>
      </c>
      <c r="M452" s="2">
        <v>-0.20419999999999999</v>
      </c>
      <c r="N452" s="2">
        <v>1.0163</v>
      </c>
      <c r="O452" s="2">
        <v>85</v>
      </c>
      <c r="P452" s="2">
        <v>1.3</v>
      </c>
      <c r="Q452" s="2"/>
    </row>
    <row r="453" spans="2:17" x14ac:dyDescent="0.3">
      <c r="B453" s="2">
        <v>-1</v>
      </c>
      <c r="C453" s="2" t="s">
        <v>109</v>
      </c>
      <c r="D453" s="2">
        <v>85</v>
      </c>
      <c r="E453" s="2" t="s">
        <v>30</v>
      </c>
      <c r="F453" s="2" t="s">
        <v>24</v>
      </c>
      <c r="G453" s="2" t="s">
        <v>27</v>
      </c>
      <c r="H453" s="2">
        <v>2.6</v>
      </c>
      <c r="I453" s="2">
        <v>-60.011499999999998</v>
      </c>
      <c r="J453" s="2">
        <v>-7.2601000000000004</v>
      </c>
      <c r="K453" s="2">
        <v>-0.27079999999999999</v>
      </c>
      <c r="L453" s="2">
        <v>-4.4000000000000003E-3</v>
      </c>
      <c r="M453" s="2">
        <v>-1.0111000000000001</v>
      </c>
      <c r="N453" s="2">
        <v>3.8106</v>
      </c>
      <c r="O453" s="2">
        <v>85</v>
      </c>
      <c r="P453" s="2">
        <v>2.6</v>
      </c>
      <c r="Q453" s="2"/>
    </row>
    <row r="454" spans="2:17" x14ac:dyDescent="0.3">
      <c r="B454" s="2">
        <v>-1</v>
      </c>
      <c r="C454" s="2" t="s">
        <v>109</v>
      </c>
      <c r="D454" s="2">
        <v>85</v>
      </c>
      <c r="E454" s="2" t="s">
        <v>31</v>
      </c>
      <c r="F454" s="2" t="s">
        <v>24</v>
      </c>
      <c r="G454" s="2" t="s">
        <v>21</v>
      </c>
      <c r="H454" s="2">
        <v>0</v>
      </c>
      <c r="I454" s="2">
        <v>-21.000599999999999</v>
      </c>
      <c r="J454" s="2">
        <v>-2.3769999999999998</v>
      </c>
      <c r="K454" s="2">
        <v>0.49370000000000003</v>
      </c>
      <c r="L454" s="2">
        <v>1.2999999999999999E-3</v>
      </c>
      <c r="M454" s="2">
        <v>0.50580000000000003</v>
      </c>
      <c r="N454" s="2">
        <v>-1.9363999999999999</v>
      </c>
      <c r="O454" s="2">
        <v>85</v>
      </c>
      <c r="P454" s="2">
        <v>0</v>
      </c>
      <c r="Q454" s="2"/>
    </row>
    <row r="455" spans="2:17" x14ac:dyDescent="0.3">
      <c r="B455" s="2">
        <v>-1</v>
      </c>
      <c r="C455" s="2" t="s">
        <v>109</v>
      </c>
      <c r="D455" s="2">
        <v>85</v>
      </c>
      <c r="E455" s="2" t="s">
        <v>31</v>
      </c>
      <c r="F455" s="2" t="s">
        <v>24</v>
      </c>
      <c r="G455" s="2" t="s">
        <v>21</v>
      </c>
      <c r="H455" s="2">
        <v>1.3</v>
      </c>
      <c r="I455" s="2">
        <v>-20.561900000000001</v>
      </c>
      <c r="J455" s="2">
        <v>-2.3769999999999998</v>
      </c>
      <c r="K455" s="2">
        <v>0.49370000000000003</v>
      </c>
      <c r="L455" s="2">
        <v>1.2999999999999999E-3</v>
      </c>
      <c r="M455" s="2">
        <v>2.1100000000000001E-2</v>
      </c>
      <c r="N455" s="2">
        <v>1.1536999999999999</v>
      </c>
      <c r="O455" s="2">
        <v>85</v>
      </c>
      <c r="P455" s="2">
        <v>1.3</v>
      </c>
      <c r="Q455" s="2"/>
    </row>
    <row r="456" spans="2:17" x14ac:dyDescent="0.3">
      <c r="B456" s="2">
        <v>-1</v>
      </c>
      <c r="C456" s="2" t="s">
        <v>109</v>
      </c>
      <c r="D456" s="2">
        <v>85</v>
      </c>
      <c r="E456" s="2" t="s">
        <v>31</v>
      </c>
      <c r="F456" s="2" t="s">
        <v>24</v>
      </c>
      <c r="G456" s="2" t="s">
        <v>21</v>
      </c>
      <c r="H456" s="2">
        <v>2.6</v>
      </c>
      <c r="I456" s="2">
        <v>-20.123100000000001</v>
      </c>
      <c r="J456" s="2">
        <v>-2.3769999999999998</v>
      </c>
      <c r="K456" s="2">
        <v>0.49370000000000003</v>
      </c>
      <c r="L456" s="2">
        <v>1.2999999999999999E-3</v>
      </c>
      <c r="M456" s="2">
        <v>0.37240000000000001</v>
      </c>
      <c r="N456" s="2">
        <v>4.3338999999999999</v>
      </c>
      <c r="O456" s="2">
        <v>85</v>
      </c>
      <c r="P456" s="2">
        <v>2.6</v>
      </c>
      <c r="Q456" s="2"/>
    </row>
    <row r="457" spans="2:17" x14ac:dyDescent="0.3">
      <c r="B457" s="2">
        <v>-1</v>
      </c>
      <c r="C457" s="2" t="s">
        <v>109</v>
      </c>
      <c r="D457" s="2">
        <v>85</v>
      </c>
      <c r="E457" s="2" t="s">
        <v>31</v>
      </c>
      <c r="F457" s="2" t="s">
        <v>24</v>
      </c>
      <c r="G457" s="2" t="s">
        <v>27</v>
      </c>
      <c r="H457" s="2">
        <v>0</v>
      </c>
      <c r="I457" s="2">
        <v>-22.5762</v>
      </c>
      <c r="J457" s="2">
        <v>-2.4668000000000001</v>
      </c>
      <c r="K457" s="2">
        <v>-0.27079999999999999</v>
      </c>
      <c r="L457" s="2">
        <v>-8.0000000000000004E-4</v>
      </c>
      <c r="M457" s="2">
        <v>-0.33200000000000002</v>
      </c>
      <c r="N457" s="2">
        <v>-2.0796999999999999</v>
      </c>
      <c r="O457" s="2">
        <v>85</v>
      </c>
      <c r="P457" s="2">
        <v>0</v>
      </c>
      <c r="Q457" s="2"/>
    </row>
    <row r="458" spans="2:17" x14ac:dyDescent="0.3">
      <c r="B458" s="2">
        <v>-1</v>
      </c>
      <c r="C458" s="2" t="s">
        <v>109</v>
      </c>
      <c r="D458" s="2">
        <v>85</v>
      </c>
      <c r="E458" s="2" t="s">
        <v>31</v>
      </c>
      <c r="F458" s="2" t="s">
        <v>24</v>
      </c>
      <c r="G458" s="2" t="s">
        <v>27</v>
      </c>
      <c r="H458" s="2">
        <v>1.3</v>
      </c>
      <c r="I458" s="2">
        <v>-22.137499999999999</v>
      </c>
      <c r="J458" s="2">
        <v>-2.4668000000000001</v>
      </c>
      <c r="K458" s="2">
        <v>-0.27079999999999999</v>
      </c>
      <c r="L458" s="2">
        <v>-8.0000000000000004E-4</v>
      </c>
      <c r="M458" s="2">
        <v>-0.1371</v>
      </c>
      <c r="N458" s="2">
        <v>1.1271</v>
      </c>
      <c r="O458" s="2">
        <v>85</v>
      </c>
      <c r="P458" s="2">
        <v>1.3</v>
      </c>
      <c r="Q458" s="2"/>
    </row>
    <row r="459" spans="2:17" x14ac:dyDescent="0.3">
      <c r="B459" s="2">
        <v>-1</v>
      </c>
      <c r="C459" s="2" t="s">
        <v>109</v>
      </c>
      <c r="D459" s="2">
        <v>85</v>
      </c>
      <c r="E459" s="2" t="s">
        <v>31</v>
      </c>
      <c r="F459" s="2" t="s">
        <v>24</v>
      </c>
      <c r="G459" s="2" t="s">
        <v>27</v>
      </c>
      <c r="H459" s="2">
        <v>2.6</v>
      </c>
      <c r="I459" s="2">
        <v>-21.698699999999999</v>
      </c>
      <c r="J459" s="2">
        <v>-2.4668000000000001</v>
      </c>
      <c r="K459" s="2">
        <v>-0.27079999999999999</v>
      </c>
      <c r="L459" s="2">
        <v>-8.0000000000000004E-4</v>
      </c>
      <c r="M459" s="2">
        <v>-0.7782</v>
      </c>
      <c r="N459" s="2">
        <v>4.2436999999999996</v>
      </c>
      <c r="O459" s="2">
        <v>85</v>
      </c>
      <c r="P459" s="2">
        <v>2.6</v>
      </c>
      <c r="Q459" s="2"/>
    </row>
    <row r="460" spans="2:17" x14ac:dyDescent="0.3">
      <c r="B460" s="2">
        <v>-1</v>
      </c>
      <c r="C460" s="2" t="s">
        <v>109</v>
      </c>
      <c r="D460" s="2">
        <v>85</v>
      </c>
      <c r="E460" s="2" t="s">
        <v>32</v>
      </c>
      <c r="F460" s="2" t="s">
        <v>24</v>
      </c>
      <c r="G460" s="2"/>
      <c r="H460" s="2">
        <v>0</v>
      </c>
      <c r="I460" s="2">
        <v>-44.290700000000001</v>
      </c>
      <c r="J460" s="2">
        <v>-5.2103000000000002</v>
      </c>
      <c r="K460" s="2">
        <v>0.2142</v>
      </c>
      <c r="L460" s="2">
        <v>8.0000000000000004E-4</v>
      </c>
      <c r="M460" s="2">
        <v>0.16619999999999999</v>
      </c>
      <c r="N460" s="2">
        <v>-4.3170999999999999</v>
      </c>
      <c r="O460" s="2">
        <v>85</v>
      </c>
      <c r="P460" s="2">
        <v>0</v>
      </c>
      <c r="Q460" s="2"/>
    </row>
    <row r="461" spans="2:17" x14ac:dyDescent="0.3">
      <c r="B461" s="2">
        <v>-1</v>
      </c>
      <c r="C461" s="2" t="s">
        <v>109</v>
      </c>
      <c r="D461" s="2">
        <v>85</v>
      </c>
      <c r="E461" s="2" t="s">
        <v>32</v>
      </c>
      <c r="F461" s="2" t="s">
        <v>24</v>
      </c>
      <c r="G461" s="2"/>
      <c r="H461" s="2">
        <v>1.3</v>
      </c>
      <c r="I461" s="2">
        <v>-43.803199999999997</v>
      </c>
      <c r="J461" s="2">
        <v>-5.2103000000000002</v>
      </c>
      <c r="K461" s="2">
        <v>0.2142</v>
      </c>
      <c r="L461" s="2">
        <v>8.0000000000000004E-4</v>
      </c>
      <c r="M461" s="2">
        <v>-0.1123</v>
      </c>
      <c r="N461" s="2">
        <v>2.4563000000000001</v>
      </c>
      <c r="O461" s="2">
        <v>85</v>
      </c>
      <c r="P461" s="2">
        <v>1.3</v>
      </c>
      <c r="Q461" s="2"/>
    </row>
    <row r="462" spans="2:17" x14ac:dyDescent="0.3">
      <c r="B462" s="2">
        <v>-1</v>
      </c>
      <c r="C462" s="2" t="s">
        <v>109</v>
      </c>
      <c r="D462" s="2">
        <v>85</v>
      </c>
      <c r="E462" s="2" t="s">
        <v>32</v>
      </c>
      <c r="F462" s="2" t="s">
        <v>24</v>
      </c>
      <c r="G462" s="2"/>
      <c r="H462" s="2">
        <v>2.6</v>
      </c>
      <c r="I462" s="2">
        <v>-43.3157</v>
      </c>
      <c r="J462" s="2">
        <v>-5.2103000000000002</v>
      </c>
      <c r="K462" s="2">
        <v>0.2142</v>
      </c>
      <c r="L462" s="2">
        <v>8.0000000000000004E-4</v>
      </c>
      <c r="M462" s="2">
        <v>-0.39079999999999998</v>
      </c>
      <c r="N462" s="2">
        <v>9.2296999999999993</v>
      </c>
      <c r="O462" s="2">
        <v>85</v>
      </c>
      <c r="P462" s="2">
        <v>2.6</v>
      </c>
      <c r="Q462" s="2"/>
    </row>
  </sheetData>
  <mergeCells count="8">
    <mergeCell ref="O2:O3"/>
    <mergeCell ref="Q2:Q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Resultados</vt:lpstr>
      <vt:lpstr>Resumen</vt:lpstr>
      <vt:lpstr>Geometría</vt:lpstr>
      <vt:lpstr>MURO PERIMETRAL</vt:lpstr>
      <vt:lpstr>2</vt:lpstr>
      <vt:lpstr>3</vt:lpstr>
      <vt:lpstr>4</vt:lpstr>
      <vt:lpstr>5</vt:lpstr>
      <vt:lpstr>6</vt:lpstr>
      <vt:lpstr>7</vt:lpstr>
      <vt:lpstr>8</vt:lpstr>
      <vt:lpstr>9</vt:lpstr>
      <vt:lpstr>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CAPRILE</dc:creator>
  <cp:lastModifiedBy>BERNARDO CAPRILE</cp:lastModifiedBy>
  <dcterms:created xsi:type="dcterms:W3CDTF">2026-06-17T11:46:46Z</dcterms:created>
  <dcterms:modified xsi:type="dcterms:W3CDTF">2026-06-21T00:22:48Z</dcterms:modified>
</cp:coreProperties>
</file>