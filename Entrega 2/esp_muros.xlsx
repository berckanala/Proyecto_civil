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Uandes\11avo_semestre\01-Proyecto_civil\Entrega 2\"/>
    </mc:Choice>
  </mc:AlternateContent>
  <xr:revisionPtr revIDLastSave="0" documentId="13_ncr:1_{1631A1CD-619B-4085-A300-908BAEB74594}" xr6:coauthVersionLast="47" xr6:coauthVersionMax="47" xr10:uidLastSave="{00000000-0000-0000-0000-000000000000}"/>
  <bookViews>
    <workbookView xWindow="-108" yWindow="-108" windowWidth="23256" windowHeight="12576" activeTab="1" xr2:uid="{5468450B-FF0C-F741-9539-D5B51D785DD7}"/>
  </bookViews>
  <sheets>
    <sheet name="MurosHorizontales" sheetId="2" r:id="rId1"/>
    <sheet name="MurosVertica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2" l="1"/>
  <c r="G30" i="2"/>
  <c r="G31" i="2"/>
  <c r="G28" i="2"/>
  <c r="F31" i="2"/>
  <c r="F30" i="2"/>
  <c r="F29" i="2"/>
  <c r="F28" i="2"/>
  <c r="G35" i="1"/>
  <c r="G36" i="1"/>
  <c r="G37" i="1"/>
  <c r="G34" i="1"/>
  <c r="F37" i="1"/>
  <c r="F36" i="1"/>
  <c r="F35" i="1"/>
  <c r="F34" i="1"/>
  <c r="D35" i="1"/>
  <c r="D36" i="1"/>
  <c r="D37" i="1"/>
  <c r="D34" i="1"/>
  <c r="C37" i="1"/>
  <c r="C36" i="1"/>
  <c r="C35" i="1"/>
  <c r="C34" i="1"/>
  <c r="B37" i="1"/>
  <c r="B36" i="1"/>
  <c r="B35" i="1"/>
  <c r="B34" i="1"/>
  <c r="C26" i="1"/>
  <c r="D29" i="2"/>
  <c r="D30" i="2"/>
  <c r="D31" i="2"/>
  <c r="D28" i="2"/>
  <c r="C20" i="2"/>
  <c r="C31" i="2"/>
  <c r="C30" i="2"/>
  <c r="C29" i="2"/>
  <c r="C28" i="2"/>
  <c r="B31" i="2"/>
  <c r="B30" i="2"/>
  <c r="B29" i="2"/>
  <c r="B28" i="2"/>
  <c r="J4" i="1"/>
  <c r="J14" i="1"/>
</calcChain>
</file>

<file path=xl/sharedStrings.xml><?xml version="1.0" encoding="utf-8"?>
<sst xmlns="http://schemas.openxmlformats.org/spreadsheetml/2006/main" count="210" uniqueCount="58">
  <si>
    <t>Subterraneo</t>
  </si>
  <si>
    <t>Eje V</t>
  </si>
  <si>
    <t>Eje H2</t>
  </si>
  <si>
    <t>Eje H1</t>
  </si>
  <si>
    <t>Dimencion</t>
  </si>
  <si>
    <t>B-1</t>
  </si>
  <si>
    <t>N</t>
  </si>
  <si>
    <t>C</t>
  </si>
  <si>
    <t>J-1</t>
  </si>
  <si>
    <t>L</t>
  </si>
  <si>
    <t>B-2</t>
  </si>
  <si>
    <t>D-1</t>
  </si>
  <si>
    <t>D-2</t>
  </si>
  <si>
    <t>H-1</t>
  </si>
  <si>
    <t>H-2</t>
  </si>
  <si>
    <t>I</t>
  </si>
  <si>
    <t>B-3</t>
  </si>
  <si>
    <t>J</t>
  </si>
  <si>
    <t xml:space="preserve">E </t>
  </si>
  <si>
    <t xml:space="preserve">H </t>
  </si>
  <si>
    <t xml:space="preserve">D </t>
  </si>
  <si>
    <t>F-1</t>
  </si>
  <si>
    <t>LB</t>
  </si>
  <si>
    <t>Eje H</t>
  </si>
  <si>
    <t>Eje V1</t>
  </si>
  <si>
    <t>Eje V2</t>
  </si>
  <si>
    <t>G</t>
  </si>
  <si>
    <t>D</t>
  </si>
  <si>
    <t>H</t>
  </si>
  <si>
    <t xml:space="preserve">J </t>
  </si>
  <si>
    <t>J-2</t>
  </si>
  <si>
    <t>Primer Piso</t>
  </si>
  <si>
    <t xml:space="preserve">B-2 </t>
  </si>
  <si>
    <t>Segundo Piso</t>
  </si>
  <si>
    <t>F</t>
  </si>
  <si>
    <t>E</t>
  </si>
  <si>
    <t>K-2</t>
  </si>
  <si>
    <t>Piso Tipo</t>
  </si>
  <si>
    <t>A</t>
  </si>
  <si>
    <t>B</t>
  </si>
  <si>
    <t>G-1</t>
  </si>
  <si>
    <t xml:space="preserve">B </t>
  </si>
  <si>
    <t>K-1</t>
  </si>
  <si>
    <t>Info</t>
  </si>
  <si>
    <t>P</t>
  </si>
  <si>
    <t>tonf</t>
  </si>
  <si>
    <t>CIP</t>
  </si>
  <si>
    <t>tau</t>
  </si>
  <si>
    <t>tonf/m^2</t>
  </si>
  <si>
    <t>Omega</t>
  </si>
  <si>
    <t>-</t>
  </si>
  <si>
    <t>ex prop</t>
  </si>
  <si>
    <t>Imx</t>
  </si>
  <si>
    <t>Área en planta del piso</t>
  </si>
  <si>
    <r>
      <t>Area en planta (</t>
    </r>
    <r>
      <rPr>
        <sz val="12"/>
        <color theme="1"/>
        <rFont val="Aptos Narrow"/>
        <family val="2"/>
      </rPr>
      <t>Ω</t>
    </r>
    <r>
      <rPr>
        <sz val="11.9"/>
        <color theme="1"/>
        <rFont val="Aptos Narrow"/>
        <family val="2"/>
      </rPr>
      <t>)</t>
    </r>
    <r>
      <rPr>
        <sz val="12"/>
        <color theme="1"/>
        <rFont val="Aptos Narrow"/>
        <family val="2"/>
        <scheme val="minor"/>
      </rPr>
      <t xml:space="preserve"> [m^2]</t>
    </r>
  </si>
  <si>
    <t>Lx [m]</t>
  </si>
  <si>
    <t>ex (formula) [m]</t>
  </si>
  <si>
    <t>Perimetral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</si>
</sst>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1.9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3" fontId="0" fillId="0" borderId="11" xfId="0" applyNumberFormat="1" applyBorder="1"/>
    <xf numFmtId="0" fontId="0" fillId="0" borderId="12" xfId="0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0" borderId="11" xfId="0" applyBorder="1"/>
    <xf numFmtId="0" fontId="0" fillId="0" borderId="19" xfId="0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4" xfId="0" applyBorder="1"/>
    <xf numFmtId="164" fontId="0" fillId="0" borderId="20" xfId="1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281941</xdr:colOff>
      <xdr:row>14</xdr:row>
      <xdr:rowOff>53340</xdr:rowOff>
    </xdr:from>
    <xdr:to>
      <xdr:col>14</xdr:col>
      <xdr:colOff>636271</xdr:colOff>
      <xdr:row>34</xdr:row>
      <xdr:rowOff>107030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191D23-EAF1-56DE-9F9B-B027E57DD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9461" y="2827020"/>
          <a:ext cx="5474970" cy="4092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234758</xdr:colOff>
      <xdr:row>17</xdr:row>
      <xdr:rowOff>123152</xdr:rowOff>
    </xdr:from>
    <xdr:to>
      <xdr:col>14</xdr:col>
      <xdr:colOff>592936</xdr:colOff>
      <xdr:row>37</xdr:row>
      <xdr:rowOff>143091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E332FC-B14F-44E4-BC49-039FDA1A8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9667" y="3525213"/>
          <a:ext cx="5484360" cy="4099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58AE-D92F-CC46-9FE5-3B748455A852}">
  <dimension ref="B2:T31"/>
  <sheetViews>
    <sheetView topLeftCell="A15" workbookViewId="0">
      <selection activeCell="F37" sqref="F37"/>
    </sheetView>
  </sheetViews>
  <sheetFormatPr baseColWidth="10" defaultRowHeight="15.6" x14ac:dyDescent="0.3"/>
  <cols>
    <col min="4" max="4" width="14.19921875" customWidth="1"/>
    <col min="6" max="6" width="20.5" bestFit="1" customWidth="1"/>
  </cols>
  <sheetData>
    <row r="2" spans="2:20" x14ac:dyDescent="0.3">
      <c r="B2" s="25" t="s">
        <v>0</v>
      </c>
      <c r="C2" s="26"/>
      <c r="D2" s="26"/>
      <c r="E2" s="26"/>
      <c r="G2" s="25" t="s">
        <v>31</v>
      </c>
      <c r="H2" s="26"/>
      <c r="I2" s="26"/>
      <c r="J2" s="26"/>
      <c r="L2" s="25" t="s">
        <v>33</v>
      </c>
      <c r="M2" s="26"/>
      <c r="N2" s="26"/>
      <c r="O2" s="26"/>
      <c r="Q2" s="25" t="s">
        <v>37</v>
      </c>
      <c r="R2" s="26"/>
      <c r="S2" s="26"/>
      <c r="T2" s="26"/>
    </row>
    <row r="3" spans="2:20" x14ac:dyDescent="0.3">
      <c r="B3" s="2" t="s">
        <v>23</v>
      </c>
      <c r="C3" s="2" t="s">
        <v>24</v>
      </c>
      <c r="D3" s="2" t="s">
        <v>25</v>
      </c>
      <c r="E3" s="2" t="s">
        <v>4</v>
      </c>
      <c r="G3" s="2" t="s">
        <v>23</v>
      </c>
      <c r="H3" s="2" t="s">
        <v>24</v>
      </c>
      <c r="I3" s="2" t="s">
        <v>25</v>
      </c>
      <c r="J3" s="2" t="s">
        <v>4</v>
      </c>
      <c r="L3" s="2" t="s">
        <v>23</v>
      </c>
      <c r="M3" s="2" t="s">
        <v>24</v>
      </c>
      <c r="N3" s="2" t="s">
        <v>25</v>
      </c>
      <c r="O3" s="2" t="s">
        <v>4</v>
      </c>
      <c r="Q3" s="2" t="s">
        <v>23</v>
      </c>
      <c r="R3" s="2" t="s">
        <v>24</v>
      </c>
      <c r="S3" s="2" t="s">
        <v>25</v>
      </c>
      <c r="T3" s="2" t="s">
        <v>4</v>
      </c>
    </row>
    <row r="4" spans="2:20" x14ac:dyDescent="0.3">
      <c r="B4" s="1" t="s">
        <v>7</v>
      </c>
      <c r="C4" s="1">
        <v>3</v>
      </c>
      <c r="D4" s="1">
        <v>5</v>
      </c>
      <c r="E4" s="1">
        <v>5.4</v>
      </c>
      <c r="G4" s="1" t="s">
        <v>7</v>
      </c>
      <c r="H4" s="1">
        <v>3</v>
      </c>
      <c r="I4" s="1">
        <v>5</v>
      </c>
      <c r="J4" s="1">
        <v>5.4</v>
      </c>
      <c r="L4" s="1" t="s">
        <v>7</v>
      </c>
      <c r="M4" s="1">
        <v>2</v>
      </c>
      <c r="N4" s="1">
        <v>5</v>
      </c>
      <c r="O4" s="1">
        <v>5.9</v>
      </c>
      <c r="Q4" s="1" t="s">
        <v>7</v>
      </c>
      <c r="R4" s="1">
        <v>2</v>
      </c>
      <c r="S4" s="1">
        <v>5</v>
      </c>
      <c r="T4" s="1">
        <v>5.9</v>
      </c>
    </row>
    <row r="5" spans="2:20" x14ac:dyDescent="0.3">
      <c r="B5" s="1" t="s">
        <v>26</v>
      </c>
      <c r="C5" s="1">
        <v>3</v>
      </c>
      <c r="D5" s="1">
        <v>5</v>
      </c>
      <c r="E5" s="1">
        <v>5.4</v>
      </c>
      <c r="G5" s="1" t="s">
        <v>15</v>
      </c>
      <c r="H5" s="1">
        <v>3</v>
      </c>
      <c r="I5" s="1">
        <v>5</v>
      </c>
      <c r="J5" s="1">
        <v>5.4</v>
      </c>
      <c r="L5" s="1" t="s">
        <v>26</v>
      </c>
      <c r="M5" s="1">
        <v>2</v>
      </c>
      <c r="N5" s="1">
        <v>5</v>
      </c>
      <c r="O5" s="1">
        <v>5.9</v>
      </c>
      <c r="Q5" s="1" t="s">
        <v>26</v>
      </c>
      <c r="R5" s="1">
        <v>2</v>
      </c>
      <c r="S5" s="1">
        <v>5</v>
      </c>
      <c r="T5" s="1">
        <v>5.9</v>
      </c>
    </row>
    <row r="6" spans="2:20" x14ac:dyDescent="0.3">
      <c r="B6" s="1" t="s">
        <v>15</v>
      </c>
      <c r="C6" s="1">
        <v>3</v>
      </c>
      <c r="D6" s="1">
        <v>5</v>
      </c>
      <c r="E6" s="1">
        <v>5.4</v>
      </c>
      <c r="G6" s="1" t="s">
        <v>8</v>
      </c>
      <c r="H6" s="1">
        <v>3</v>
      </c>
      <c r="I6" s="1">
        <v>4</v>
      </c>
      <c r="J6" s="1">
        <v>2.67</v>
      </c>
      <c r="L6" s="1" t="s">
        <v>15</v>
      </c>
      <c r="M6" s="1">
        <v>2</v>
      </c>
      <c r="N6" s="1">
        <v>5</v>
      </c>
      <c r="O6" s="1">
        <v>5.9</v>
      </c>
      <c r="Q6" s="1" t="s">
        <v>15</v>
      </c>
      <c r="R6" s="1">
        <v>2</v>
      </c>
      <c r="S6" s="1">
        <v>5</v>
      </c>
      <c r="T6" s="1">
        <v>5.9</v>
      </c>
    </row>
    <row r="7" spans="2:20" x14ac:dyDescent="0.3">
      <c r="B7" s="1" t="s">
        <v>8</v>
      </c>
      <c r="C7" s="1">
        <v>3</v>
      </c>
      <c r="D7" s="1">
        <v>4</v>
      </c>
      <c r="E7" s="1">
        <v>2.68</v>
      </c>
      <c r="G7" s="1" t="s">
        <v>27</v>
      </c>
      <c r="H7" s="1">
        <v>7</v>
      </c>
      <c r="I7" s="1">
        <v>11</v>
      </c>
      <c r="J7" s="1">
        <v>5.76</v>
      </c>
      <c r="L7" s="1" t="s">
        <v>9</v>
      </c>
      <c r="M7" s="1">
        <v>3</v>
      </c>
      <c r="N7" s="1">
        <v>11</v>
      </c>
      <c r="O7" s="1">
        <v>1.43</v>
      </c>
      <c r="Q7" s="1" t="s">
        <v>27</v>
      </c>
      <c r="R7" s="1">
        <v>7</v>
      </c>
      <c r="S7" s="1">
        <v>11</v>
      </c>
      <c r="T7" s="1">
        <v>5.76</v>
      </c>
    </row>
    <row r="8" spans="2:20" x14ac:dyDescent="0.3">
      <c r="B8" s="1" t="s">
        <v>27</v>
      </c>
      <c r="C8" s="1">
        <v>7</v>
      </c>
      <c r="D8" s="1">
        <v>12</v>
      </c>
      <c r="E8" s="1">
        <v>10.76</v>
      </c>
      <c r="G8" s="1" t="s">
        <v>18</v>
      </c>
      <c r="H8" s="1">
        <v>7</v>
      </c>
      <c r="I8" s="1">
        <v>10</v>
      </c>
      <c r="J8" s="1">
        <v>5.46</v>
      </c>
      <c r="L8" s="1" t="s">
        <v>27</v>
      </c>
      <c r="M8" s="1">
        <v>7</v>
      </c>
      <c r="N8" s="1">
        <v>11</v>
      </c>
      <c r="O8" s="1">
        <v>5.76</v>
      </c>
      <c r="Q8" s="1" t="s">
        <v>18</v>
      </c>
      <c r="R8" s="1">
        <v>7</v>
      </c>
      <c r="S8" s="1">
        <v>11</v>
      </c>
      <c r="T8" s="1">
        <v>5.76</v>
      </c>
    </row>
    <row r="9" spans="2:20" x14ac:dyDescent="0.3">
      <c r="B9" s="1" t="s">
        <v>18</v>
      </c>
      <c r="C9" s="1">
        <v>7</v>
      </c>
      <c r="D9" s="1">
        <v>10</v>
      </c>
      <c r="E9" s="1">
        <v>5.46</v>
      </c>
      <c r="G9" s="1" t="s">
        <v>28</v>
      </c>
      <c r="H9" s="1">
        <v>7</v>
      </c>
      <c r="I9" s="1">
        <v>10</v>
      </c>
      <c r="J9" s="1">
        <v>5.46</v>
      </c>
      <c r="L9" s="1" t="s">
        <v>18</v>
      </c>
      <c r="M9" s="1">
        <v>7</v>
      </c>
      <c r="N9" s="1">
        <v>11</v>
      </c>
      <c r="O9" s="1">
        <v>5.76</v>
      </c>
      <c r="Q9" s="1" t="s">
        <v>17</v>
      </c>
      <c r="R9" s="1">
        <v>7</v>
      </c>
      <c r="S9" s="1">
        <v>11</v>
      </c>
      <c r="T9" s="1">
        <v>5.76</v>
      </c>
    </row>
    <row r="10" spans="2:20" x14ac:dyDescent="0.3">
      <c r="B10" s="1" t="s">
        <v>28</v>
      </c>
      <c r="C10" s="1">
        <v>7</v>
      </c>
      <c r="D10" s="1">
        <v>10</v>
      </c>
      <c r="E10" s="1">
        <v>5.46</v>
      </c>
      <c r="G10" s="1" t="s">
        <v>29</v>
      </c>
      <c r="H10" s="1">
        <v>7</v>
      </c>
      <c r="I10" s="1">
        <v>11</v>
      </c>
      <c r="J10" s="1">
        <v>5.76</v>
      </c>
      <c r="L10" s="3" t="s">
        <v>17</v>
      </c>
      <c r="M10" s="3">
        <v>7</v>
      </c>
      <c r="N10" s="3">
        <v>11</v>
      </c>
      <c r="O10" s="3">
        <v>5.76</v>
      </c>
      <c r="Q10" s="1" t="s">
        <v>28</v>
      </c>
      <c r="R10" s="1">
        <v>7</v>
      </c>
      <c r="S10" s="1">
        <v>11</v>
      </c>
      <c r="T10" s="1">
        <v>2.33</v>
      </c>
    </row>
    <row r="11" spans="2:20" x14ac:dyDescent="0.3">
      <c r="B11" s="1" t="s">
        <v>29</v>
      </c>
      <c r="C11" s="1">
        <v>7</v>
      </c>
      <c r="D11" s="1">
        <v>10</v>
      </c>
      <c r="E11" s="1">
        <v>5.46</v>
      </c>
      <c r="G11" s="3" t="s">
        <v>30</v>
      </c>
      <c r="H11" s="3">
        <v>8</v>
      </c>
      <c r="I11" s="3">
        <v>11</v>
      </c>
      <c r="J11" s="3">
        <v>5.25</v>
      </c>
      <c r="L11" s="4"/>
      <c r="M11" s="4"/>
      <c r="N11" s="4"/>
      <c r="O11" s="4"/>
    </row>
    <row r="12" spans="2:20" x14ac:dyDescent="0.3">
      <c r="B12" s="1" t="s">
        <v>30</v>
      </c>
      <c r="C12" s="1">
        <v>8</v>
      </c>
      <c r="D12" s="1">
        <v>10</v>
      </c>
      <c r="E12" s="1">
        <v>5.25</v>
      </c>
      <c r="G12" s="4"/>
      <c r="H12" s="4"/>
      <c r="I12" s="4"/>
      <c r="J12" s="4"/>
    </row>
    <row r="13" spans="2:20" x14ac:dyDescent="0.3">
      <c r="B13" s="3" t="s">
        <v>22</v>
      </c>
      <c r="C13" s="3">
        <v>12</v>
      </c>
      <c r="D13" s="3">
        <v>13</v>
      </c>
      <c r="E13" s="3">
        <v>3.55</v>
      </c>
    </row>
    <row r="14" spans="2:20" x14ac:dyDescent="0.3">
      <c r="B14" s="1" t="s">
        <v>6</v>
      </c>
      <c r="C14" s="1">
        <v>1</v>
      </c>
      <c r="D14" s="1">
        <v>13</v>
      </c>
      <c r="E14" s="1">
        <v>26.4</v>
      </c>
    </row>
    <row r="16" spans="2:20" ht="16.2" thickBot="1" x14ac:dyDescent="0.35"/>
    <row r="17" spans="2:7" x14ac:dyDescent="0.3">
      <c r="B17" s="6" t="s">
        <v>7</v>
      </c>
      <c r="C17" s="7">
        <v>0.1</v>
      </c>
      <c r="D17" s="8" t="s">
        <v>50</v>
      </c>
    </row>
    <row r="18" spans="2:7" x14ac:dyDescent="0.3">
      <c r="B18" s="9" t="s">
        <v>15</v>
      </c>
      <c r="C18" s="1">
        <v>1</v>
      </c>
      <c r="D18" s="10" t="s">
        <v>50</v>
      </c>
    </row>
    <row r="19" spans="2:7" ht="16.2" thickBot="1" x14ac:dyDescent="0.35">
      <c r="B19" s="11" t="s">
        <v>44</v>
      </c>
      <c r="C19" s="12">
        <v>9289.1489999999994</v>
      </c>
      <c r="D19" s="13" t="s">
        <v>45</v>
      </c>
    </row>
    <row r="20" spans="2:7" ht="16.2" thickBot="1" x14ac:dyDescent="0.35">
      <c r="B20" s="14" t="s">
        <v>46</v>
      </c>
      <c r="C20" s="15">
        <f>C19*C18*C17</f>
        <v>928.91489999999999</v>
      </c>
      <c r="D20" s="16" t="s">
        <v>45</v>
      </c>
    </row>
    <row r="21" spans="2:7" ht="16.2" thickBot="1" x14ac:dyDescent="0.35"/>
    <row r="22" spans="2:7" ht="16.2" thickBot="1" x14ac:dyDescent="0.35">
      <c r="B22" s="17" t="s">
        <v>47</v>
      </c>
      <c r="C22" s="18">
        <v>80</v>
      </c>
      <c r="D22" s="19" t="s">
        <v>48</v>
      </c>
    </row>
    <row r="23" spans="2:7" ht="16.2" thickBot="1" x14ac:dyDescent="0.35"/>
    <row r="24" spans="2:7" ht="16.2" thickBot="1" x14ac:dyDescent="0.35">
      <c r="B24" s="17" t="s">
        <v>49</v>
      </c>
      <c r="C24" s="18">
        <v>2.5</v>
      </c>
      <c r="D24" s="19" t="s">
        <v>50</v>
      </c>
    </row>
    <row r="26" spans="2:7" ht="16.2" thickBot="1" x14ac:dyDescent="0.35"/>
    <row r="27" spans="2:7" ht="16.2" thickBot="1" x14ac:dyDescent="0.35">
      <c r="B27" s="22" t="s">
        <v>43</v>
      </c>
      <c r="C27" s="23" t="s">
        <v>55</v>
      </c>
      <c r="D27" s="23" t="s">
        <v>56</v>
      </c>
      <c r="E27" s="23" t="s">
        <v>51</v>
      </c>
      <c r="F27" s="18" t="s">
        <v>54</v>
      </c>
      <c r="G27" s="24" t="s">
        <v>52</v>
      </c>
    </row>
    <row r="28" spans="2:7" x14ac:dyDescent="0.3">
      <c r="B28" s="21" t="str">
        <f>B2</f>
        <v>Subterraneo</v>
      </c>
      <c r="C28" s="5">
        <f>SUM(E4:E14)</f>
        <v>81.22</v>
      </c>
      <c r="D28" s="5">
        <f>$C$20/($C$22*C28)</f>
        <v>0.14296277086924403</v>
      </c>
      <c r="E28" s="5">
        <v>0.35</v>
      </c>
      <c r="F28" s="5">
        <f>1153.6-7.47</f>
        <v>1146.1299999999999</v>
      </c>
      <c r="G28" s="28">
        <f>C28*E28/(F28)</f>
        <v>2.4802596564089587E-2</v>
      </c>
    </row>
    <row r="29" spans="2:7" x14ac:dyDescent="0.3">
      <c r="B29" s="9" t="str">
        <f>G2</f>
        <v>Primer Piso</v>
      </c>
      <c r="C29" s="1">
        <f>SUM(J4:J11)</f>
        <v>41.160000000000004</v>
      </c>
      <c r="D29" s="1">
        <f t="shared" ref="D29:D31" si="0">$C$20/($C$22*C29)</f>
        <v>0.28210486516034983</v>
      </c>
      <c r="E29" s="1">
        <v>0.25</v>
      </c>
      <c r="F29" s="1">
        <f>327.4-7.47</f>
        <v>319.92999999999995</v>
      </c>
      <c r="G29" s="28">
        <f t="shared" ref="G29:G31" si="1">C29*E29/(F29)</f>
        <v>3.2163285718750982E-2</v>
      </c>
    </row>
    <row r="30" spans="2:7" x14ac:dyDescent="0.3">
      <c r="B30" s="9" t="str">
        <f>L2</f>
        <v>Segundo Piso</v>
      </c>
      <c r="C30" s="1">
        <f>SUM(O4:O10)</f>
        <v>36.409999999999997</v>
      </c>
      <c r="D30" s="1">
        <f t="shared" si="0"/>
        <v>0.31890788931612196</v>
      </c>
      <c r="E30" s="1">
        <v>0.35</v>
      </c>
      <c r="F30" s="1">
        <f>330-7.47</f>
        <v>322.52999999999997</v>
      </c>
      <c r="G30" s="28">
        <f t="shared" si="1"/>
        <v>3.9511053235357946E-2</v>
      </c>
    </row>
    <row r="31" spans="2:7" ht="16.2" thickBot="1" x14ac:dyDescent="0.35">
      <c r="B31" s="11" t="str">
        <f>Q2</f>
        <v>Piso Tipo</v>
      </c>
      <c r="C31" s="20">
        <f>SUM(T4:T10)</f>
        <v>37.309999999999995</v>
      </c>
      <c r="D31" s="20">
        <f t="shared" si="0"/>
        <v>0.31121512329134282</v>
      </c>
      <c r="E31" s="20">
        <v>0.3</v>
      </c>
      <c r="F31" s="20">
        <f>356.8-7.47</f>
        <v>349.33</v>
      </c>
      <c r="G31" s="28">
        <f t="shared" si="1"/>
        <v>3.2041336272292671E-2</v>
      </c>
    </row>
  </sheetData>
  <mergeCells count="4">
    <mergeCell ref="B2:E2"/>
    <mergeCell ref="G2:J2"/>
    <mergeCell ref="L2:O2"/>
    <mergeCell ref="Q2:T2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B2EE-67AF-5049-8D4A-619096A034EB}">
  <dimension ref="B2:T40"/>
  <sheetViews>
    <sheetView tabSelected="1" topLeftCell="A19" zoomScale="99" workbookViewId="0">
      <selection activeCell="F42" sqref="F42"/>
    </sheetView>
  </sheetViews>
  <sheetFormatPr baseColWidth="10" defaultRowHeight="15.6" x14ac:dyDescent="0.3"/>
  <cols>
    <col min="4" max="4" width="14.09765625" customWidth="1"/>
    <col min="6" max="6" width="21.59765625" customWidth="1"/>
  </cols>
  <sheetData>
    <row r="2" spans="2:20" x14ac:dyDescent="0.3">
      <c r="B2" s="25" t="s">
        <v>0</v>
      </c>
      <c r="C2" s="26"/>
      <c r="D2" s="26"/>
      <c r="E2" s="26"/>
      <c r="G2" s="25" t="s">
        <v>31</v>
      </c>
      <c r="H2" s="26"/>
      <c r="I2" s="26"/>
      <c r="J2" s="26"/>
      <c r="L2" s="25" t="s">
        <v>33</v>
      </c>
      <c r="M2" s="26"/>
      <c r="N2" s="26"/>
      <c r="O2" s="26"/>
      <c r="Q2" s="25" t="s">
        <v>37</v>
      </c>
      <c r="R2" s="26"/>
      <c r="S2" s="26"/>
      <c r="T2" s="26"/>
    </row>
    <row r="3" spans="2:20" x14ac:dyDescent="0.3">
      <c r="B3" s="2" t="s">
        <v>1</v>
      </c>
      <c r="C3" s="2" t="s">
        <v>3</v>
      </c>
      <c r="D3" s="2" t="s">
        <v>2</v>
      </c>
      <c r="E3" s="2" t="s">
        <v>4</v>
      </c>
      <c r="G3" s="2" t="s">
        <v>1</v>
      </c>
      <c r="H3" s="2" t="s">
        <v>3</v>
      </c>
      <c r="I3" s="2" t="s">
        <v>2</v>
      </c>
      <c r="J3" s="2" t="s">
        <v>4</v>
      </c>
      <c r="L3" s="2" t="s">
        <v>1</v>
      </c>
      <c r="M3" s="2" t="s">
        <v>3</v>
      </c>
      <c r="N3" s="2" t="s">
        <v>2</v>
      </c>
      <c r="O3" s="2" t="s">
        <v>4</v>
      </c>
      <c r="Q3" s="2" t="s">
        <v>1</v>
      </c>
      <c r="R3" s="2" t="s">
        <v>3</v>
      </c>
      <c r="S3" s="2" t="s">
        <v>2</v>
      </c>
      <c r="T3" s="2" t="s">
        <v>4</v>
      </c>
    </row>
    <row r="4" spans="2:20" x14ac:dyDescent="0.3">
      <c r="B4" s="1">
        <v>1</v>
      </c>
      <c r="C4" s="1" t="s">
        <v>5</v>
      </c>
      <c r="D4" s="1" t="s">
        <v>6</v>
      </c>
      <c r="E4" s="1">
        <v>47.44</v>
      </c>
      <c r="F4" t="s">
        <v>57</v>
      </c>
      <c r="G4" s="1">
        <v>3</v>
      </c>
      <c r="H4" s="1" t="s">
        <v>5</v>
      </c>
      <c r="I4" s="1" t="s">
        <v>7</v>
      </c>
      <c r="J4" s="1">
        <f>7.38-2.4</f>
        <v>4.9800000000000004</v>
      </c>
      <c r="L4" s="1">
        <v>3</v>
      </c>
      <c r="M4" s="1" t="s">
        <v>7</v>
      </c>
      <c r="N4" s="1" t="s">
        <v>27</v>
      </c>
      <c r="O4" s="1">
        <v>2.9</v>
      </c>
      <c r="Q4" s="1">
        <v>3</v>
      </c>
      <c r="R4" s="1" t="s">
        <v>38</v>
      </c>
      <c r="S4" s="1" t="s">
        <v>39</v>
      </c>
      <c r="T4" s="1">
        <v>3.68</v>
      </c>
    </row>
    <row r="5" spans="2:20" x14ac:dyDescent="0.3">
      <c r="B5" s="1">
        <v>3</v>
      </c>
      <c r="C5" s="1" t="s">
        <v>5</v>
      </c>
      <c r="D5" s="1" t="s">
        <v>7</v>
      </c>
      <c r="E5" s="1">
        <v>7.49</v>
      </c>
      <c r="G5" s="1">
        <v>3</v>
      </c>
      <c r="H5" s="1" t="s">
        <v>8</v>
      </c>
      <c r="I5" s="1" t="s">
        <v>9</v>
      </c>
      <c r="J5" s="1">
        <v>3.9</v>
      </c>
      <c r="L5" s="1">
        <v>3</v>
      </c>
      <c r="M5" s="1" t="s">
        <v>30</v>
      </c>
      <c r="N5" s="1" t="s">
        <v>9</v>
      </c>
      <c r="O5" s="1">
        <v>3.9</v>
      </c>
      <c r="Q5" s="1">
        <v>3</v>
      </c>
      <c r="R5" s="1" t="s">
        <v>8</v>
      </c>
      <c r="S5" s="1" t="s">
        <v>9</v>
      </c>
      <c r="T5" s="1">
        <v>3.9</v>
      </c>
    </row>
    <row r="6" spans="2:20" x14ac:dyDescent="0.3">
      <c r="B6" s="1">
        <v>3</v>
      </c>
      <c r="C6" s="1" t="s">
        <v>8</v>
      </c>
      <c r="D6" s="1" t="s">
        <v>9</v>
      </c>
      <c r="E6" s="1">
        <v>3.92</v>
      </c>
      <c r="G6" s="1">
        <v>5</v>
      </c>
      <c r="H6" s="1" t="s">
        <v>7</v>
      </c>
      <c r="I6" s="1" t="s">
        <v>11</v>
      </c>
      <c r="J6" s="1">
        <v>1.63</v>
      </c>
      <c r="L6" s="1">
        <v>5</v>
      </c>
      <c r="M6" s="1" t="s">
        <v>7</v>
      </c>
      <c r="N6" s="1" t="s">
        <v>11</v>
      </c>
      <c r="O6" s="1">
        <v>2.79</v>
      </c>
      <c r="Q6" s="1">
        <v>5</v>
      </c>
      <c r="R6" s="1" t="s">
        <v>7</v>
      </c>
      <c r="S6" s="1" t="s">
        <v>11</v>
      </c>
      <c r="T6" s="1">
        <v>2.79</v>
      </c>
    </row>
    <row r="7" spans="2:20" x14ac:dyDescent="0.3">
      <c r="B7" s="1">
        <v>5</v>
      </c>
      <c r="C7" s="1" t="s">
        <v>7</v>
      </c>
      <c r="D7" s="1" t="s">
        <v>11</v>
      </c>
      <c r="E7" s="1">
        <v>1.65</v>
      </c>
      <c r="G7" s="1">
        <v>5</v>
      </c>
      <c r="H7" s="1" t="s">
        <v>12</v>
      </c>
      <c r="I7" s="1" t="s">
        <v>13</v>
      </c>
      <c r="J7" s="1">
        <v>5.44</v>
      </c>
      <c r="L7" s="1">
        <v>5</v>
      </c>
      <c r="M7" s="1" t="s">
        <v>34</v>
      </c>
      <c r="N7" s="1" t="s">
        <v>28</v>
      </c>
      <c r="O7" s="1">
        <v>3.12</v>
      </c>
      <c r="Q7" s="1">
        <v>5</v>
      </c>
      <c r="R7" s="1" t="s">
        <v>34</v>
      </c>
      <c r="S7" s="1" t="s">
        <v>40</v>
      </c>
      <c r="T7" s="1">
        <v>3.12</v>
      </c>
    </row>
    <row r="8" spans="2:20" x14ac:dyDescent="0.3">
      <c r="B8" s="1">
        <v>5</v>
      </c>
      <c r="C8" s="1" t="s">
        <v>12</v>
      </c>
      <c r="D8" s="1" t="s">
        <v>13</v>
      </c>
      <c r="E8" s="1">
        <v>5.44</v>
      </c>
      <c r="G8" s="1">
        <v>5</v>
      </c>
      <c r="H8" s="1" t="s">
        <v>14</v>
      </c>
      <c r="I8" s="1" t="s">
        <v>15</v>
      </c>
      <c r="J8" s="1">
        <v>1.66</v>
      </c>
      <c r="L8" s="1">
        <v>5</v>
      </c>
      <c r="M8" s="1" t="s">
        <v>14</v>
      </c>
      <c r="N8" s="1" t="s">
        <v>15</v>
      </c>
      <c r="O8" s="1">
        <v>2.79</v>
      </c>
      <c r="Q8" s="1">
        <v>5</v>
      </c>
      <c r="R8" s="1" t="s">
        <v>13</v>
      </c>
      <c r="S8" s="1" t="s">
        <v>15</v>
      </c>
      <c r="T8" s="1">
        <v>2.82</v>
      </c>
    </row>
    <row r="9" spans="2:20" x14ac:dyDescent="0.3">
      <c r="B9" s="1">
        <v>5</v>
      </c>
      <c r="C9" s="1" t="s">
        <v>14</v>
      </c>
      <c r="D9" s="1" t="s">
        <v>15</v>
      </c>
      <c r="E9" s="1">
        <v>1.65</v>
      </c>
      <c r="G9" s="1">
        <v>6</v>
      </c>
      <c r="H9" s="1" t="s">
        <v>5</v>
      </c>
      <c r="I9" s="1" t="s">
        <v>10</v>
      </c>
      <c r="J9" s="1">
        <v>4.5599999999999996</v>
      </c>
      <c r="L9" s="1">
        <v>6</v>
      </c>
      <c r="M9" s="1" t="s">
        <v>5</v>
      </c>
      <c r="N9" s="1" t="s">
        <v>10</v>
      </c>
      <c r="O9" s="1">
        <v>4.5599999999999996</v>
      </c>
      <c r="Q9" s="1">
        <v>6</v>
      </c>
      <c r="R9" s="1" t="s">
        <v>38</v>
      </c>
      <c r="S9" s="1" t="s">
        <v>10</v>
      </c>
      <c r="T9" s="1">
        <v>6.67</v>
      </c>
    </row>
    <row r="10" spans="2:20" x14ac:dyDescent="0.3">
      <c r="B10" s="1">
        <v>6</v>
      </c>
      <c r="C10" s="1" t="s">
        <v>10</v>
      </c>
      <c r="D10" s="1" t="s">
        <v>16</v>
      </c>
      <c r="E10" s="1">
        <v>4.5599999999999996</v>
      </c>
      <c r="G10" s="1">
        <v>6</v>
      </c>
      <c r="H10" s="1" t="s">
        <v>8</v>
      </c>
      <c r="I10" s="1" t="s">
        <v>9</v>
      </c>
      <c r="J10" s="1">
        <v>6.65</v>
      </c>
      <c r="L10" s="1">
        <v>6</v>
      </c>
      <c r="M10" s="1" t="s">
        <v>8</v>
      </c>
      <c r="N10" s="1" t="s">
        <v>9</v>
      </c>
      <c r="O10" s="1">
        <v>6.67</v>
      </c>
      <c r="Q10" s="1">
        <v>6</v>
      </c>
      <c r="R10" s="1" t="s">
        <v>8</v>
      </c>
      <c r="S10" s="1" t="s">
        <v>9</v>
      </c>
      <c r="T10" s="1">
        <v>6.67</v>
      </c>
    </row>
    <row r="11" spans="2:20" x14ac:dyDescent="0.3">
      <c r="B11" s="1">
        <v>6</v>
      </c>
      <c r="C11" s="1" t="s">
        <v>8</v>
      </c>
      <c r="D11" s="1" t="s">
        <v>9</v>
      </c>
      <c r="E11" s="1">
        <v>6.65</v>
      </c>
      <c r="G11" s="1">
        <v>8</v>
      </c>
      <c r="H11" s="1" t="s">
        <v>13</v>
      </c>
      <c r="I11" s="1" t="s">
        <v>17</v>
      </c>
      <c r="J11" s="1">
        <v>2.84</v>
      </c>
      <c r="L11" s="1">
        <v>8</v>
      </c>
      <c r="M11" s="1" t="s">
        <v>13</v>
      </c>
      <c r="N11" s="1" t="s">
        <v>15</v>
      </c>
      <c r="O11" s="1">
        <v>2.84</v>
      </c>
      <c r="Q11" s="1">
        <v>8</v>
      </c>
      <c r="R11" s="1" t="s">
        <v>13</v>
      </c>
      <c r="S11" s="1" t="s">
        <v>17</v>
      </c>
      <c r="T11" s="1">
        <v>2.84</v>
      </c>
    </row>
    <row r="12" spans="2:20" x14ac:dyDescent="0.3">
      <c r="B12" s="1">
        <v>8</v>
      </c>
      <c r="C12" s="1" t="s">
        <v>13</v>
      </c>
      <c r="D12" s="1" t="s">
        <v>17</v>
      </c>
      <c r="E12" s="1">
        <v>2.85</v>
      </c>
      <c r="G12" s="1">
        <v>9</v>
      </c>
      <c r="H12" s="1" t="s">
        <v>18</v>
      </c>
      <c r="I12" s="1" t="s">
        <v>19</v>
      </c>
      <c r="J12" s="1">
        <v>3.9</v>
      </c>
      <c r="L12" s="1">
        <v>9</v>
      </c>
      <c r="M12" s="1" t="s">
        <v>18</v>
      </c>
      <c r="N12" s="1" t="s">
        <v>28</v>
      </c>
      <c r="O12" s="1">
        <v>3</v>
      </c>
      <c r="Q12" s="1">
        <v>9</v>
      </c>
      <c r="R12" s="1" t="s">
        <v>18</v>
      </c>
      <c r="S12" s="1" t="s">
        <v>28</v>
      </c>
      <c r="T12" s="1">
        <v>3.9</v>
      </c>
    </row>
    <row r="13" spans="2:20" x14ac:dyDescent="0.3">
      <c r="B13" s="1">
        <v>9</v>
      </c>
      <c r="C13" s="1" t="s">
        <v>18</v>
      </c>
      <c r="D13" s="1" t="s">
        <v>19</v>
      </c>
      <c r="E13" s="1">
        <v>3.9</v>
      </c>
      <c r="G13" s="1">
        <v>10</v>
      </c>
      <c r="H13" s="1" t="s">
        <v>20</v>
      </c>
      <c r="I13" s="1" t="s">
        <v>18</v>
      </c>
      <c r="J13" s="1">
        <v>3</v>
      </c>
      <c r="L13" s="1">
        <v>11</v>
      </c>
      <c r="M13" s="1" t="s">
        <v>35</v>
      </c>
      <c r="N13" s="1" t="s">
        <v>26</v>
      </c>
      <c r="O13" s="1">
        <v>2.17</v>
      </c>
      <c r="Q13" s="1">
        <v>11</v>
      </c>
      <c r="R13" s="1" t="s">
        <v>38</v>
      </c>
      <c r="S13" s="1" t="s">
        <v>41</v>
      </c>
      <c r="T13" s="1">
        <v>4.72</v>
      </c>
    </row>
    <row r="14" spans="2:20" x14ac:dyDescent="0.3">
      <c r="B14" s="1">
        <v>10</v>
      </c>
      <c r="C14" s="1" t="s">
        <v>20</v>
      </c>
      <c r="D14" s="1" t="s">
        <v>21</v>
      </c>
      <c r="E14" s="1">
        <v>4.32</v>
      </c>
      <c r="G14" s="1">
        <v>11</v>
      </c>
      <c r="H14" s="1" t="s">
        <v>32</v>
      </c>
      <c r="I14" s="1" t="s">
        <v>20</v>
      </c>
      <c r="J14" s="1">
        <f>6.67-3.37</f>
        <v>3.3</v>
      </c>
      <c r="L14" s="3">
        <v>11</v>
      </c>
      <c r="M14" s="3" t="s">
        <v>8</v>
      </c>
      <c r="N14" s="3" t="s">
        <v>36</v>
      </c>
      <c r="O14" s="3">
        <v>4.09</v>
      </c>
      <c r="Q14" s="1">
        <v>11</v>
      </c>
      <c r="R14" s="1" t="s">
        <v>8</v>
      </c>
      <c r="S14" s="1" t="s">
        <v>42</v>
      </c>
      <c r="T14" s="1">
        <v>4.09</v>
      </c>
    </row>
    <row r="15" spans="2:20" x14ac:dyDescent="0.3">
      <c r="B15" s="1">
        <v>11</v>
      </c>
      <c r="C15" s="1" t="s">
        <v>5</v>
      </c>
      <c r="D15" s="1" t="s">
        <v>20</v>
      </c>
      <c r="E15" s="1">
        <v>6.72</v>
      </c>
      <c r="G15" s="3">
        <v>11</v>
      </c>
      <c r="H15" s="3" t="s">
        <v>30</v>
      </c>
      <c r="I15" s="3" t="s">
        <v>9</v>
      </c>
      <c r="J15" s="3">
        <v>4.91</v>
      </c>
      <c r="L15" s="4"/>
      <c r="M15" s="4"/>
      <c r="N15" s="4"/>
      <c r="O15" s="4"/>
    </row>
    <row r="16" spans="2:20" x14ac:dyDescent="0.3">
      <c r="B16" s="1">
        <v>11</v>
      </c>
      <c r="C16" s="1" t="s">
        <v>8</v>
      </c>
      <c r="D16" s="1" t="s">
        <v>9</v>
      </c>
      <c r="E16" s="1">
        <v>4.91</v>
      </c>
      <c r="G16" s="4"/>
      <c r="H16" s="4"/>
      <c r="I16" s="4"/>
      <c r="J16" s="4"/>
    </row>
    <row r="17" spans="2:6" x14ac:dyDescent="0.3">
      <c r="B17" s="1">
        <v>12</v>
      </c>
      <c r="C17" s="1" t="s">
        <v>20</v>
      </c>
      <c r="D17" s="1" t="s">
        <v>22</v>
      </c>
      <c r="E17" s="1">
        <v>9.6999999999999993</v>
      </c>
    </row>
    <row r="18" spans="2:6" x14ac:dyDescent="0.3">
      <c r="B18" s="1">
        <v>13</v>
      </c>
      <c r="C18" s="1" t="s">
        <v>22</v>
      </c>
      <c r="D18" s="1" t="s">
        <v>6</v>
      </c>
      <c r="E18" s="1">
        <v>30.42</v>
      </c>
      <c r="F18" t="s">
        <v>57</v>
      </c>
    </row>
    <row r="22" spans="2:6" ht="16.2" thickBot="1" x14ac:dyDescent="0.35"/>
    <row r="23" spans="2:6" x14ac:dyDescent="0.3">
      <c r="B23" s="6" t="s">
        <v>7</v>
      </c>
      <c r="C23" s="7">
        <v>0.1</v>
      </c>
      <c r="D23" s="8" t="s">
        <v>50</v>
      </c>
    </row>
    <row r="24" spans="2:6" x14ac:dyDescent="0.3">
      <c r="B24" s="9" t="s">
        <v>15</v>
      </c>
      <c r="C24" s="1">
        <v>1</v>
      </c>
      <c r="D24" s="10" t="s">
        <v>50</v>
      </c>
    </row>
    <row r="25" spans="2:6" ht="16.2" thickBot="1" x14ac:dyDescent="0.35">
      <c r="B25" s="11" t="s">
        <v>44</v>
      </c>
      <c r="C25" s="12">
        <v>9289.1489999999994</v>
      </c>
      <c r="D25" s="13" t="s">
        <v>45</v>
      </c>
    </row>
    <row r="26" spans="2:6" ht="16.2" thickBot="1" x14ac:dyDescent="0.35">
      <c r="B26" s="14" t="s">
        <v>46</v>
      </c>
      <c r="C26" s="15">
        <f>C25*C24*C23</f>
        <v>928.91489999999999</v>
      </c>
      <c r="D26" s="16" t="s">
        <v>45</v>
      </c>
    </row>
    <row r="27" spans="2:6" ht="16.2" thickBot="1" x14ac:dyDescent="0.35"/>
    <row r="28" spans="2:6" ht="16.2" thickBot="1" x14ac:dyDescent="0.35">
      <c r="B28" s="17" t="s">
        <v>47</v>
      </c>
      <c r="C28" s="18">
        <v>80</v>
      </c>
      <c r="D28" s="19" t="s">
        <v>48</v>
      </c>
    </row>
    <row r="29" spans="2:6" ht="16.2" thickBot="1" x14ac:dyDescent="0.35"/>
    <row r="30" spans="2:6" ht="16.2" thickBot="1" x14ac:dyDescent="0.35">
      <c r="B30" s="17" t="s">
        <v>49</v>
      </c>
      <c r="C30" s="18">
        <v>2.5</v>
      </c>
      <c r="D30" s="19" t="s">
        <v>50</v>
      </c>
    </row>
    <row r="32" spans="2:6" ht="16.2" thickBot="1" x14ac:dyDescent="0.35"/>
    <row r="33" spans="2:10" ht="16.2" thickBot="1" x14ac:dyDescent="0.35">
      <c r="B33" s="22" t="s">
        <v>43</v>
      </c>
      <c r="C33" s="23" t="s">
        <v>55</v>
      </c>
      <c r="D33" s="23" t="s">
        <v>56</v>
      </c>
      <c r="E33" s="23" t="s">
        <v>51</v>
      </c>
      <c r="F33" s="18" t="s">
        <v>54</v>
      </c>
      <c r="G33" s="24" t="s">
        <v>52</v>
      </c>
    </row>
    <row r="34" spans="2:10" x14ac:dyDescent="0.3">
      <c r="B34" s="21" t="str">
        <f>B2</f>
        <v>Subterraneo</v>
      </c>
      <c r="C34" s="5">
        <f>SUM(E4:E18)</f>
        <v>141.62</v>
      </c>
      <c r="D34" s="5">
        <f>$C$26/($C$28*C34)</f>
        <v>8.199008791131196E-2</v>
      </c>
      <c r="E34" s="5">
        <v>0.35</v>
      </c>
      <c r="F34" s="5">
        <f>1153.6-7.47</f>
        <v>1146.1299999999999</v>
      </c>
      <c r="G34" s="28">
        <f>C34*E34/(F34)</f>
        <v>4.3247275614459096E-2</v>
      </c>
    </row>
    <row r="35" spans="2:10" x14ac:dyDescent="0.3">
      <c r="B35" s="9" t="str">
        <f>G2</f>
        <v>Primer Piso</v>
      </c>
      <c r="C35" s="1">
        <f>SUM(J4:J15)</f>
        <v>46.769999999999996</v>
      </c>
      <c r="D35" s="5">
        <f t="shared" ref="D35:D37" si="0">$C$26/($C$28*C35)</f>
        <v>0.24826675753688265</v>
      </c>
      <c r="E35" s="1">
        <v>0.25</v>
      </c>
      <c r="F35" s="1">
        <f>327.4-7.47</f>
        <v>319.92999999999995</v>
      </c>
      <c r="G35" s="28">
        <f t="shared" ref="G35:G37" si="1">C35*E35/(F35)</f>
        <v>3.654705716875567E-2</v>
      </c>
    </row>
    <row r="36" spans="2:10" x14ac:dyDescent="0.3">
      <c r="B36" s="9" t="str">
        <f>L2</f>
        <v>Segundo Piso</v>
      </c>
      <c r="C36" s="1">
        <f>SUM(O4:O14)</f>
        <v>38.83</v>
      </c>
      <c r="D36" s="5">
        <f t="shared" si="0"/>
        <v>0.2990326100952872</v>
      </c>
      <c r="E36" s="1">
        <v>0.3</v>
      </c>
      <c r="F36" s="1">
        <f>330-7.47</f>
        <v>322.52999999999997</v>
      </c>
      <c r="G36" s="28">
        <f t="shared" si="1"/>
        <v>3.6117570458561996E-2</v>
      </c>
    </row>
    <row r="37" spans="2:10" ht="16.2" thickBot="1" x14ac:dyDescent="0.35">
      <c r="B37" s="11" t="str">
        <f>Q2</f>
        <v>Piso Tipo</v>
      </c>
      <c r="C37" s="20">
        <f>SUM(T4:T14)</f>
        <v>45.2</v>
      </c>
      <c r="D37" s="27">
        <f t="shared" si="0"/>
        <v>0.25689018252212387</v>
      </c>
      <c r="E37" s="20">
        <v>0.2</v>
      </c>
      <c r="F37" s="20">
        <f>356.8-7.47</f>
        <v>349.33</v>
      </c>
      <c r="G37" s="28">
        <f t="shared" si="1"/>
        <v>2.5878109523945841E-2</v>
      </c>
    </row>
    <row r="40" spans="2:10" x14ac:dyDescent="0.3">
      <c r="J40" t="s">
        <v>53</v>
      </c>
    </row>
  </sheetData>
  <mergeCells count="4">
    <mergeCell ref="B2:E2"/>
    <mergeCell ref="G2:J2"/>
    <mergeCell ref="L2:O2"/>
    <mergeCell ref="Q2:T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MurosHorizontales</vt:lpstr>
      <vt:lpstr>MurosVerticales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Wolff</dc:creator>
  <cp:lastModifiedBy>BERNARDO CAPRILE</cp:lastModifiedBy>
  <dcterms:created xsi:type="dcterms:W3CDTF">2026-04-11T20:51:22Z</dcterms:created>
  <dcterms:modified xsi:type="dcterms:W3CDTF">2026-04-14T15:16:54Z</dcterms:modified>
</cp:coreProperties>
</file>